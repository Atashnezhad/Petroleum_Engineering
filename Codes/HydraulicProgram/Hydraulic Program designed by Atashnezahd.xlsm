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macrosheets/sheet1.xml" ContentType="application/vnd.ms-excel.macro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SLAB Hareland 3\Documents\All_Amin_Github\Petroleum-and-Drilling-Enginnering\Codes\HydraulicProgram\"/>
    </mc:Choice>
  </mc:AlternateContent>
  <xr:revisionPtr revIDLastSave="0" documentId="13_ncr:1_{3034D77E-C5FB-4A4F-A9C4-2DB20E35215F}" xr6:coauthVersionLast="45" xr6:coauthVersionMax="45" xr10:uidLastSave="{00000000-0000-0000-0000-000000000000}"/>
  <bookViews>
    <workbookView xWindow="8505" yWindow="5025" windowWidth="3300" windowHeight="810" tabRatio="779" firstSheet="6" activeTab="6" xr2:uid="{00000000-000D-0000-FFFF-FFFF00000000}"/>
  </bookViews>
  <sheets>
    <sheet name="Plan View" sheetId="6" r:id="rId1"/>
    <sheet name="Vertical Section View" sheetId="7" r:id="rId2"/>
    <sheet name="Well Planning(SI)" sheetId="2" r:id="rId3"/>
    <sheet name="1.Casing design" sheetId="10" r:id="rId4"/>
    <sheet name="Systems Data" sheetId="12" r:id="rId5"/>
    <sheet name="Macro1" sheetId="21" r:id="rId6"/>
    <sheet name="2.Hydraulic Design" sheetId="11" r:id="rId7"/>
    <sheet name="3.Mud design" sheetId="13" r:id="rId8"/>
    <sheet name="4.Cement design" sheetId="20" r:id="rId9"/>
  </sheets>
  <definedNames>
    <definedName name="_xlnm.Print_Area" localSheetId="3">'1.Casing design'!$A$1:$F$29,'1.Casing design'!$A$31:$E$61,'1.Casing design'!$A$63:$F$91,'1.Casing design'!$A$93:$G$123,'1.Casing design'!$A$125:$F$153,'1.Casing design'!$A$155:$G$185,'1.Casing design'!$A$187:$F$215,'1.Casing design'!$A$217:$G$247,'1.Casing design'!$A$249:$F$277,'1.Casing design'!$A$279:$G$309,'1.Casing design'!$A$311:$F$339,'1.Casing design'!$A$341:$G$371</definedName>
    <definedName name="_xlnm.Print_Area" localSheetId="6">'2.Hydraulic Design'!$A$1:$F$29,'2.Hydraulic Design'!$A$31:$E$61,'2.Hydraulic Design'!$A$63:$F$91,'2.Hydraulic Design'!$A$93:$G$123,'2.Hydraulic Design'!$A$125:$F$153,'2.Hydraulic Design'!$A$155:$G$185,'2.Hydraulic Design'!$A$187:$F$215,'2.Hydraulic Design'!$A$217:$G$247,'2.Hydraulic Design'!$A$249:$F$277,'2.Hydraulic Design'!$A$279:$G$309,'2.Hydraulic Design'!$A$311:$F$339,'2.Hydraulic Design'!$A$341:$G$371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5" i="11" l="1"/>
  <c r="D33" i="11"/>
  <c r="R4" i="11"/>
  <c r="S4" i="11" s="1"/>
  <c r="T4" i="11" s="1"/>
  <c r="U4" i="11" s="1"/>
  <c r="V4" i="11" s="1"/>
  <c r="W4" i="11" s="1"/>
  <c r="X4" i="11" s="1"/>
  <c r="Y4" i="11" s="1"/>
  <c r="Z4" i="11" s="1"/>
  <c r="C3" i="10"/>
  <c r="C2" i="10"/>
  <c r="B29" i="11"/>
  <c r="C43" i="11"/>
  <c r="C35" i="11"/>
  <c r="F33" i="11" s="1"/>
  <c r="C45" i="20"/>
  <c r="E48" i="20"/>
  <c r="F48" i="20"/>
  <c r="G48" i="20"/>
  <c r="H48" i="20"/>
  <c r="D48" i="20"/>
  <c r="C48" i="20"/>
  <c r="D57" i="20"/>
  <c r="D56" i="20"/>
  <c r="E56" i="20" s="1"/>
  <c r="D60" i="20"/>
  <c r="D92" i="20"/>
  <c r="D94" i="20"/>
  <c r="D95" i="20"/>
  <c r="D91" i="20"/>
  <c r="E91" i="20" s="1"/>
  <c r="D85" i="20"/>
  <c r="D87" i="20"/>
  <c r="D88" i="20"/>
  <c r="D84" i="20"/>
  <c r="D81" i="20"/>
  <c r="D78" i="20"/>
  <c r="D80" i="20"/>
  <c r="D77" i="20"/>
  <c r="D71" i="20"/>
  <c r="D73" i="20"/>
  <c r="D74" i="20"/>
  <c r="D70" i="20"/>
  <c r="D64" i="20"/>
  <c r="D66" i="20"/>
  <c r="D67" i="20"/>
  <c r="D63" i="20"/>
  <c r="E63" i="20" s="1"/>
  <c r="D59" i="20"/>
  <c r="D50" i="20"/>
  <c r="E50" i="20"/>
  <c r="F50" i="20"/>
  <c r="G50" i="20"/>
  <c r="H50" i="20"/>
  <c r="C50" i="20"/>
  <c r="D58" i="20" s="1"/>
  <c r="C94" i="20"/>
  <c r="C73" i="20"/>
  <c r="D79" i="20" s="1"/>
  <c r="E70" i="20"/>
  <c r="C66" i="20"/>
  <c r="D72" i="20" s="1"/>
  <c r="C87" i="20"/>
  <c r="D93" i="20" s="1"/>
  <c r="E84" i="20"/>
  <c r="C80" i="20"/>
  <c r="D86" i="20" s="1"/>
  <c r="C59" i="20"/>
  <c r="D65" i="20" s="1"/>
  <c r="E77" i="20"/>
  <c r="H49" i="20"/>
  <c r="C92" i="20" s="1"/>
  <c r="C93" i="20" s="1"/>
  <c r="D49" i="20"/>
  <c r="C64" i="20" s="1"/>
  <c r="C65" i="20" s="1"/>
  <c r="E49" i="20"/>
  <c r="C71" i="20" s="1"/>
  <c r="C72" i="20" s="1"/>
  <c r="F49" i="20"/>
  <c r="C78" i="20" s="1"/>
  <c r="G49" i="20"/>
  <c r="C85" i="20" s="1"/>
  <c r="C49" i="20"/>
  <c r="C57" i="20" s="1"/>
  <c r="D45" i="20"/>
  <c r="E45" i="20"/>
  <c r="F45" i="20"/>
  <c r="G45" i="20"/>
  <c r="H45" i="20"/>
  <c r="Q10" i="20"/>
  <c r="N82" i="10"/>
  <c r="K7" i="20"/>
  <c r="L7" i="20" s="1"/>
  <c r="I9" i="20"/>
  <c r="I10" i="20"/>
  <c r="I11" i="20"/>
  <c r="I12" i="20"/>
  <c r="I13" i="20"/>
  <c r="I14" i="20"/>
  <c r="I8" i="20"/>
  <c r="AA202" i="10"/>
  <c r="E14" i="20" s="1"/>
  <c r="AA166" i="10"/>
  <c r="E13" i="20" s="1"/>
  <c r="AA165" i="10"/>
  <c r="E12" i="20" s="1"/>
  <c r="AA126" i="10"/>
  <c r="E11" i="20" s="1"/>
  <c r="D33" i="20" s="1"/>
  <c r="AA91" i="10"/>
  <c r="E10" i="20" s="1"/>
  <c r="S30" i="10"/>
  <c r="E8" i="20" s="1"/>
  <c r="AA61" i="10"/>
  <c r="E9" i="20" s="1"/>
  <c r="D31" i="20" s="1"/>
  <c r="B83" i="13"/>
  <c r="C66" i="13"/>
  <c r="C79" i="13" s="1"/>
  <c r="C67" i="13"/>
  <c r="C81" i="13" s="1"/>
  <c r="C68" i="13"/>
  <c r="C83" i="13" s="1"/>
  <c r="C69" i="13"/>
  <c r="C84" i="13" s="1"/>
  <c r="C70" i="13"/>
  <c r="E84" i="13" s="1"/>
  <c r="C71" i="13"/>
  <c r="E86" i="13" s="1"/>
  <c r="C65" i="13"/>
  <c r="C78" i="13" s="1"/>
  <c r="D28" i="13"/>
  <c r="F12" i="20" s="1"/>
  <c r="D26" i="13"/>
  <c r="F10" i="20" s="1"/>
  <c r="D25" i="13"/>
  <c r="F9" i="20" s="1"/>
  <c r="D24" i="13"/>
  <c r="F8" i="20" s="1"/>
  <c r="G7" i="20"/>
  <c r="B30" i="20" s="1"/>
  <c r="L18" i="12"/>
  <c r="L19" i="12" s="1"/>
  <c r="L20" i="12" s="1"/>
  <c r="J30" i="13"/>
  <c r="J29" i="13"/>
  <c r="J28" i="13"/>
  <c r="J27" i="13"/>
  <c r="J26" i="13"/>
  <c r="J25" i="13"/>
  <c r="D216" i="10"/>
  <c r="C216" i="10"/>
  <c r="D55" i="2"/>
  <c r="D52" i="2" s="1"/>
  <c r="C55" i="2"/>
  <c r="G60" i="2"/>
  <c r="G61" i="2" s="1"/>
  <c r="K63" i="2"/>
  <c r="K61" i="2"/>
  <c r="K58" i="2"/>
  <c r="K56" i="2"/>
  <c r="E55" i="2"/>
  <c r="E56" i="2" s="1"/>
  <c r="C60" i="2"/>
  <c r="D60" i="2"/>
  <c r="E60" i="2"/>
  <c r="H56" i="2"/>
  <c r="C56" i="2"/>
  <c r="D56" i="2"/>
  <c r="F56" i="2"/>
  <c r="D61" i="2"/>
  <c r="C61" i="2"/>
  <c r="D59" i="2"/>
  <c r="C59" i="2"/>
  <c r="M205" i="10"/>
  <c r="H205" i="10"/>
  <c r="I205" i="10" s="1"/>
  <c r="M204" i="10"/>
  <c r="K204" i="10"/>
  <c r="K205" i="10" s="1"/>
  <c r="H200" i="10"/>
  <c r="K200" i="10" s="1"/>
  <c r="K201" i="10" s="1"/>
  <c r="N195" i="10"/>
  <c r="S191" i="10" s="1"/>
  <c r="S197" i="10" s="1"/>
  <c r="N194" i="10"/>
  <c r="N193" i="10"/>
  <c r="S193" i="10" s="1"/>
  <c r="S192" i="10"/>
  <c r="S194" i="10"/>
  <c r="T191" i="10"/>
  <c r="T197" i="10" s="1"/>
  <c r="N191" i="10"/>
  <c r="S195" i="10" s="1"/>
  <c r="F188" i="10"/>
  <c r="N179" i="10"/>
  <c r="M179" i="10"/>
  <c r="D179" i="10"/>
  <c r="C179" i="10"/>
  <c r="H170" i="10"/>
  <c r="I170" i="10" s="1"/>
  <c r="M168" i="10"/>
  <c r="M167" i="10"/>
  <c r="E6" i="13"/>
  <c r="E7" i="13" s="1"/>
  <c r="F6" i="13"/>
  <c r="F7" i="13" s="1"/>
  <c r="G6" i="13"/>
  <c r="G7" i="13" s="1"/>
  <c r="H6" i="13"/>
  <c r="E8" i="13"/>
  <c r="F8" i="13"/>
  <c r="G8" i="13"/>
  <c r="D8" i="13"/>
  <c r="D6" i="13"/>
  <c r="C8" i="13"/>
  <c r="C6" i="13"/>
  <c r="C7" i="13" s="1"/>
  <c r="D343" i="11"/>
  <c r="C353" i="11"/>
  <c r="C345" i="11"/>
  <c r="B339" i="11"/>
  <c r="D281" i="11"/>
  <c r="C291" i="11"/>
  <c r="C283" i="11"/>
  <c r="B277" i="11"/>
  <c r="E193" i="11"/>
  <c r="D219" i="11"/>
  <c r="C229" i="11"/>
  <c r="C221" i="11"/>
  <c r="B215" i="11"/>
  <c r="D157" i="11"/>
  <c r="C167" i="11"/>
  <c r="C159" i="11"/>
  <c r="B153" i="11"/>
  <c r="D95" i="11"/>
  <c r="C105" i="11"/>
  <c r="C97" i="11"/>
  <c r="F95" i="11" s="1"/>
  <c r="B91" i="11"/>
  <c r="L10" i="12"/>
  <c r="E69" i="11" s="1"/>
  <c r="L9" i="12"/>
  <c r="C33" i="13" s="1"/>
  <c r="E7" i="11" l="1"/>
  <c r="E317" i="11"/>
  <c r="E131" i="11"/>
  <c r="F60" i="2"/>
  <c r="F61" i="2" s="1"/>
  <c r="E255" i="11"/>
  <c r="C32" i="13"/>
  <c r="G36" i="13" s="1"/>
  <c r="E72" i="20"/>
  <c r="E80" i="20"/>
  <c r="F157" i="11"/>
  <c r="F219" i="11"/>
  <c r="F343" i="11"/>
  <c r="F281" i="11"/>
  <c r="E59" i="20"/>
  <c r="E87" i="20"/>
  <c r="C86" i="20"/>
  <c r="E86" i="20" s="1"/>
  <c r="E85" i="20"/>
  <c r="E57" i="20"/>
  <c r="C58" i="20"/>
  <c r="E58" i="20" s="1"/>
  <c r="E65" i="20"/>
  <c r="E73" i="20"/>
  <c r="E66" i="20"/>
  <c r="E94" i="20"/>
  <c r="E92" i="20"/>
  <c r="E93" i="20"/>
  <c r="E71" i="20"/>
  <c r="E64" i="20"/>
  <c r="C79" i="20"/>
  <c r="E79" i="20" s="1"/>
  <c r="E78" i="20"/>
  <c r="H7" i="20"/>
  <c r="D35" i="20"/>
  <c r="M7" i="20"/>
  <c r="D30" i="20"/>
  <c r="D32" i="20"/>
  <c r="D34" i="20"/>
  <c r="E79" i="13"/>
  <c r="E83" i="13"/>
  <c r="G83" i="13" s="1"/>
  <c r="H83" i="13" s="1"/>
  <c r="I83" i="13" s="1"/>
  <c r="C86" i="13"/>
  <c r="G37" i="13"/>
  <c r="E78" i="13"/>
  <c r="F70" i="13"/>
  <c r="E81" i="13"/>
  <c r="G81" i="13" s="1"/>
  <c r="H81" i="13" s="1"/>
  <c r="B84" i="13"/>
  <c r="D38" i="13"/>
  <c r="D40" i="13"/>
  <c r="H37" i="13"/>
  <c r="H39" i="13"/>
  <c r="H41" i="13"/>
  <c r="D37" i="13"/>
  <c r="C38" i="13"/>
  <c r="D39" i="13"/>
  <c r="D41" i="13"/>
  <c r="H36" i="13"/>
  <c r="H38" i="13"/>
  <c r="H40" i="13"/>
  <c r="F9" i="13"/>
  <c r="F10" i="13" s="1"/>
  <c r="G9" i="13"/>
  <c r="G10" i="13" s="1"/>
  <c r="E9" i="13"/>
  <c r="E10" i="13" s="1"/>
  <c r="D7" i="13"/>
  <c r="D9" i="13" s="1"/>
  <c r="D10" i="13" s="1"/>
  <c r="C9" i="13"/>
  <c r="C10" i="13" s="1"/>
  <c r="G216" i="10"/>
  <c r="G59" i="2"/>
  <c r="G62" i="2"/>
  <c r="G63" i="2" s="1"/>
  <c r="G64" i="2" s="1"/>
  <c r="G65" i="2" s="1"/>
  <c r="E61" i="2"/>
  <c r="F62" i="2"/>
  <c r="F63" i="2" s="1"/>
  <c r="F64" i="2" s="1"/>
  <c r="F65" i="2" s="1"/>
  <c r="F59" i="2"/>
  <c r="P179" i="10"/>
  <c r="T192" i="10"/>
  <c r="T193" i="10" s="1"/>
  <c r="T194" i="10" s="1"/>
  <c r="F216" i="10"/>
  <c r="B218" i="10"/>
  <c r="C218" i="10" s="1"/>
  <c r="F179" i="10"/>
  <c r="Q179" i="10"/>
  <c r="L181" i="10"/>
  <c r="M181" i="10" s="1"/>
  <c r="C39" i="13" l="1"/>
  <c r="C37" i="13"/>
  <c r="G40" i="13"/>
  <c r="G41" i="13"/>
  <c r="C41" i="13"/>
  <c r="G38" i="13"/>
  <c r="C36" i="13"/>
  <c r="I57" i="2"/>
  <c r="G57" i="2" s="1"/>
  <c r="C40" i="13"/>
  <c r="G39" i="13"/>
  <c r="C13" i="13"/>
  <c r="F71" i="13" s="1"/>
  <c r="D62" i="2"/>
  <c r="D63" i="2" s="1"/>
  <c r="D64" i="2" s="1"/>
  <c r="D65" i="2" s="1"/>
  <c r="C62" i="2"/>
  <c r="C63" i="2" s="1"/>
  <c r="C64" i="2" s="1"/>
  <c r="C65" i="2" s="1"/>
  <c r="E62" i="2"/>
  <c r="E63" i="2" s="1"/>
  <c r="E64" i="2" s="1"/>
  <c r="E65" i="2" s="1"/>
  <c r="T195" i="10"/>
  <c r="S155" i="10"/>
  <c r="S154" i="10"/>
  <c r="S160" i="10" s="1"/>
  <c r="N155" i="10"/>
  <c r="N156" i="10"/>
  <c r="S156" i="10" s="1"/>
  <c r="N154" i="10"/>
  <c r="S158" i="10" s="1"/>
  <c r="H168" i="10"/>
  <c r="I168" i="10" s="1"/>
  <c r="K167" i="10"/>
  <c r="K168" i="10" s="1"/>
  <c r="H163" i="10"/>
  <c r="K163" i="10" s="1"/>
  <c r="K164" i="10" s="1"/>
  <c r="F151" i="10"/>
  <c r="C144" i="10"/>
  <c r="F142" i="10"/>
  <c r="H37" i="10"/>
  <c r="I37" i="10" s="1"/>
  <c r="L34" i="10"/>
  <c r="L35" i="10" s="1"/>
  <c r="H131" i="10"/>
  <c r="I131" i="10" s="1"/>
  <c r="M130" i="10"/>
  <c r="S117" i="10"/>
  <c r="X120" i="10" s="1"/>
  <c r="F114" i="10"/>
  <c r="D105" i="10"/>
  <c r="C105" i="10"/>
  <c r="H57" i="2" l="1"/>
  <c r="H58" i="2" s="1"/>
  <c r="H59" i="2" s="1"/>
  <c r="H60" i="2" s="1"/>
  <c r="H61" i="2" s="1"/>
  <c r="H62" i="2" s="1"/>
  <c r="H63" i="2" s="1"/>
  <c r="H64" i="2" s="1"/>
  <c r="H65" i="2" s="1"/>
  <c r="I58" i="2"/>
  <c r="G58" i="2"/>
  <c r="F57" i="2"/>
  <c r="E57" i="2" s="1"/>
  <c r="F72" i="13"/>
  <c r="F74" i="13" s="1"/>
  <c r="F73" i="13" s="1"/>
  <c r="B78" i="13"/>
  <c r="F58" i="2"/>
  <c r="C57" i="2"/>
  <c r="C58" i="2" s="1"/>
  <c r="D57" i="2"/>
  <c r="D58" i="2" s="1"/>
  <c r="S157" i="10"/>
  <c r="G179" i="10"/>
  <c r="B181" i="10"/>
  <c r="C181" i="10" s="1"/>
  <c r="G142" i="10"/>
  <c r="X117" i="10"/>
  <c r="B107" i="10"/>
  <c r="C107" i="10" s="1"/>
  <c r="G105" i="10"/>
  <c r="F105" i="10"/>
  <c r="M93" i="10"/>
  <c r="S85" i="10"/>
  <c r="H94" i="10"/>
  <c r="I94" i="10" s="1"/>
  <c r="H89" i="10"/>
  <c r="K89" i="10" s="1"/>
  <c r="K93" i="10" s="1"/>
  <c r="F79" i="10"/>
  <c r="H66" i="10"/>
  <c r="I66" i="10" s="1"/>
  <c r="H64" i="10"/>
  <c r="I64" i="10" s="1"/>
  <c r="H59" i="10"/>
  <c r="N53" i="10"/>
  <c r="S53" i="10" s="1"/>
  <c r="N54" i="10"/>
  <c r="E58" i="2" l="1"/>
  <c r="E59" i="2" s="1"/>
  <c r="S82" i="10"/>
  <c r="K59" i="10"/>
  <c r="K60" i="10" s="1"/>
  <c r="K61" i="10" s="1"/>
  <c r="K63" i="10" s="1"/>
  <c r="N52" i="10"/>
  <c r="F49" i="10"/>
  <c r="J4" i="10"/>
  <c r="B18" i="10"/>
  <c r="B17" i="10"/>
  <c r="B16" i="10"/>
  <c r="B14" i="10"/>
  <c r="C32" i="10"/>
  <c r="H36" i="10"/>
  <c r="I36" i="10" s="1"/>
  <c r="J3" i="10"/>
  <c r="J5" i="10"/>
  <c r="J6" i="10"/>
  <c r="J7" i="10"/>
  <c r="G43" i="20" s="1"/>
  <c r="J8" i="10"/>
  <c r="H43" i="20" s="1"/>
  <c r="J9" i="10"/>
  <c r="J2" i="10"/>
  <c r="O27" i="10"/>
  <c r="C4" i="10"/>
  <c r="B24" i="10"/>
  <c r="L8" i="20" s="1"/>
  <c r="M8" i="20" s="1"/>
  <c r="M17" i="20" s="1"/>
  <c r="P11" i="20" l="1"/>
  <c r="F43" i="20"/>
  <c r="P8" i="20"/>
  <c r="C43" i="20"/>
  <c r="P9" i="20"/>
  <c r="D43" i="20"/>
  <c r="G46" i="20"/>
  <c r="C88" i="20"/>
  <c r="E88" i="20" s="1"/>
  <c r="F88" i="20" s="1"/>
  <c r="P10" i="20"/>
  <c r="E43" i="20"/>
  <c r="H46" i="20"/>
  <c r="C95" i="20"/>
  <c r="E95" i="20" s="1"/>
  <c r="F95" i="20" s="1"/>
  <c r="P12" i="20"/>
  <c r="P13" i="20" s="1"/>
  <c r="P14" i="20"/>
  <c r="V61" i="10"/>
  <c r="W61" i="10" s="1"/>
  <c r="D64" i="10" s="1"/>
  <c r="B49" i="10"/>
  <c r="L9" i="20" s="1"/>
  <c r="M9" i="20" s="1"/>
  <c r="M18" i="20" s="1"/>
  <c r="K2" i="10"/>
  <c r="P7" i="20"/>
  <c r="N59" i="10"/>
  <c r="N60" i="10" s="1"/>
  <c r="N61" i="10" s="1"/>
  <c r="N63" i="10" s="1"/>
  <c r="E87" i="11"/>
  <c r="E70" i="11"/>
  <c r="E194" i="11"/>
  <c r="E211" i="11" s="1"/>
  <c r="B158" i="10"/>
  <c r="E8" i="11"/>
  <c r="E149" i="11"/>
  <c r="E132" i="11"/>
  <c r="E256" i="11"/>
  <c r="B195" i="10"/>
  <c r="B123" i="10"/>
  <c r="B30" i="10"/>
  <c r="D30" i="10" s="1"/>
  <c r="F30" i="10" s="1"/>
  <c r="B56" i="10"/>
  <c r="D56" i="10" s="1"/>
  <c r="F56" i="10" s="1"/>
  <c r="E318" i="11"/>
  <c r="E335" i="11" s="1"/>
  <c r="B86" i="10"/>
  <c r="B126" i="10"/>
  <c r="B59" i="10"/>
  <c r="D59" i="10" s="1"/>
  <c r="O34" i="10"/>
  <c r="N30" i="10" s="1"/>
  <c r="E24" i="13" s="1"/>
  <c r="G8" i="20" s="1"/>
  <c r="B89" i="10"/>
  <c r="S52" i="10"/>
  <c r="S55" i="10"/>
  <c r="T52" i="10"/>
  <c r="D66" i="10"/>
  <c r="D27" i="10"/>
  <c r="D52" i="10"/>
  <c r="C14" i="10"/>
  <c r="D14" i="10" s="1"/>
  <c r="C15" i="10"/>
  <c r="D15" i="10"/>
  <c r="K3" i="10"/>
  <c r="K4" i="10"/>
  <c r="I3" i="10"/>
  <c r="I4" i="10"/>
  <c r="D22" i="2"/>
  <c r="D23" i="2"/>
  <c r="C22" i="2"/>
  <c r="C23" i="2"/>
  <c r="D12" i="2"/>
  <c r="D5" i="2"/>
  <c r="A99" i="2"/>
  <c r="B99" i="2" s="1"/>
  <c r="C21" i="2"/>
  <c r="B21" i="2"/>
  <c r="K9" i="2"/>
  <c r="F13" i="2"/>
  <c r="G13" i="2"/>
  <c r="G14" i="2" s="1"/>
  <c r="D14" i="2"/>
  <c r="C14" i="2"/>
  <c r="E9" i="2"/>
  <c r="D9" i="2"/>
  <c r="C9" i="2"/>
  <c r="C12" i="2"/>
  <c r="K11" i="2"/>
  <c r="K16" i="2"/>
  <c r="K14" i="2"/>
  <c r="E14" i="2" l="1"/>
  <c r="F14" i="2"/>
  <c r="D28" i="2" s="1"/>
  <c r="H49" i="10"/>
  <c r="G52" i="10" s="1"/>
  <c r="I52" i="10" s="1"/>
  <c r="E25" i="13"/>
  <c r="G9" i="20" s="1"/>
  <c r="B32" i="20" s="1"/>
  <c r="C188" i="10"/>
  <c r="B188" i="10" s="1"/>
  <c r="L14" i="20" s="1"/>
  <c r="C151" i="10"/>
  <c r="B151" i="10" s="1"/>
  <c r="E273" i="11"/>
  <c r="C32" i="11"/>
  <c r="C33" i="11" s="1"/>
  <c r="J42" i="11" s="1"/>
  <c r="E46" i="20"/>
  <c r="C74" i="20"/>
  <c r="E74" i="20" s="1"/>
  <c r="F74" i="20" s="1"/>
  <c r="D46" i="20"/>
  <c r="C67" i="20"/>
  <c r="E67" i="20" s="1"/>
  <c r="F67" i="20" s="1"/>
  <c r="C46" i="20"/>
  <c r="C60" i="20"/>
  <c r="E60" i="20" s="1"/>
  <c r="F60" i="20" s="1"/>
  <c r="F46" i="20"/>
  <c r="C81" i="20"/>
  <c r="E81" i="20" s="1"/>
  <c r="F81" i="20" s="1"/>
  <c r="T8" i="20"/>
  <c r="E14" i="10"/>
  <c r="F27" i="10" s="1"/>
  <c r="G27" i="10"/>
  <c r="J27" i="10" s="1"/>
  <c r="J29" i="10" s="1"/>
  <c r="J30" i="10" s="1"/>
  <c r="G151" i="10"/>
  <c r="F154" i="10" s="1"/>
  <c r="H154" i="10" s="1"/>
  <c r="L13" i="20"/>
  <c r="M13" i="20" s="1"/>
  <c r="M22" i="20" s="1"/>
  <c r="C30" i="20"/>
  <c r="K30" i="20"/>
  <c r="I30" i="20"/>
  <c r="B31" i="20"/>
  <c r="H30" i="20"/>
  <c r="M30" i="20" s="1"/>
  <c r="E30" i="20"/>
  <c r="H31" i="20"/>
  <c r="M31" i="20" s="1"/>
  <c r="K31" i="20"/>
  <c r="K8" i="20"/>
  <c r="K17" i="20" s="1"/>
  <c r="H8" i="20"/>
  <c r="L30" i="20" s="1"/>
  <c r="D36" i="13"/>
  <c r="F36" i="13"/>
  <c r="C44" i="13"/>
  <c r="F24" i="13"/>
  <c r="E37" i="13"/>
  <c r="G188" i="10"/>
  <c r="F191" i="10" s="1"/>
  <c r="H191" i="10" s="1"/>
  <c r="C342" i="11"/>
  <c r="C280" i="11"/>
  <c r="C156" i="11"/>
  <c r="C94" i="11"/>
  <c r="C95" i="11" s="1"/>
  <c r="J104" i="11" s="1"/>
  <c r="C218" i="11"/>
  <c r="C219" i="11" s="1"/>
  <c r="J228" i="11" s="1"/>
  <c r="H151" i="10"/>
  <c r="G154" i="10" s="1"/>
  <c r="I154" i="10" s="1"/>
  <c r="E39" i="10"/>
  <c r="B39" i="10"/>
  <c r="I59" i="10"/>
  <c r="L59" i="10" s="1"/>
  <c r="O35" i="10"/>
  <c r="F32" i="10"/>
  <c r="F33" i="10" s="1"/>
  <c r="M34" i="10"/>
  <c r="M35" i="10" s="1"/>
  <c r="G49" i="10"/>
  <c r="F52" i="10" s="1"/>
  <c r="H52" i="10" s="1"/>
  <c r="B68" i="10"/>
  <c r="E68" i="10"/>
  <c r="T53" i="10"/>
  <c r="T55" i="10"/>
  <c r="E15" i="10"/>
  <c r="F15" i="10" s="1"/>
  <c r="G15" i="2"/>
  <c r="G16" i="2" s="1"/>
  <c r="G17" i="2" s="1"/>
  <c r="B91" i="2" s="1"/>
  <c r="I10" i="2"/>
  <c r="G11" i="2" s="1"/>
  <c r="C25" i="2" s="1"/>
  <c r="C27" i="2"/>
  <c r="A104" i="2"/>
  <c r="B104" i="2" s="1"/>
  <c r="A103" i="2"/>
  <c r="B103" i="2" s="1"/>
  <c r="C28" i="2"/>
  <c r="D27" i="2"/>
  <c r="F12" i="2"/>
  <c r="F15" i="2"/>
  <c r="G12" i="2"/>
  <c r="C26" i="2" s="1"/>
  <c r="C29" i="2"/>
  <c r="H9" i="20" l="1"/>
  <c r="L31" i="20" s="1"/>
  <c r="O31" i="20" s="1"/>
  <c r="E31" i="20"/>
  <c r="T9" i="20"/>
  <c r="C31" i="20"/>
  <c r="C30" i="2"/>
  <c r="I31" i="20"/>
  <c r="H188" i="10"/>
  <c r="G191" i="10" s="1"/>
  <c r="I191" i="10" s="1"/>
  <c r="I193" i="10" s="1"/>
  <c r="R197" i="10" s="1"/>
  <c r="F25" i="13"/>
  <c r="F37" i="13" s="1"/>
  <c r="J37" i="13" s="1"/>
  <c r="I37" i="13"/>
  <c r="K9" i="20"/>
  <c r="K18" i="20" s="1"/>
  <c r="A102" i="2"/>
  <c r="B102" i="2" s="1"/>
  <c r="C8" i="10"/>
  <c r="F10" i="2"/>
  <c r="C15" i="2"/>
  <c r="C16" i="2" s="1"/>
  <c r="C17" i="2" s="1"/>
  <c r="E15" i="2"/>
  <c r="E16" i="2" s="1"/>
  <c r="F16" i="2"/>
  <c r="D15" i="2"/>
  <c r="D16" i="2" s="1"/>
  <c r="D17" i="2" s="1"/>
  <c r="C343" i="11"/>
  <c r="J352" i="11" s="1"/>
  <c r="C281" i="11"/>
  <c r="J290" i="11" s="1"/>
  <c r="C157" i="11"/>
  <c r="J166" i="11" s="1"/>
  <c r="C96" i="11"/>
  <c r="C98" i="11" s="1"/>
  <c r="C99" i="11" s="1"/>
  <c r="C220" i="11"/>
  <c r="C222" i="11" s="1"/>
  <c r="C223" i="11" s="1"/>
  <c r="E34" i="11"/>
  <c r="C34" i="11"/>
  <c r="C36" i="11" s="1"/>
  <c r="C37" i="11" s="1"/>
  <c r="J31" i="20"/>
  <c r="N31" i="20" s="1"/>
  <c r="J30" i="20"/>
  <c r="N30" i="20" s="1"/>
  <c r="O30" i="20"/>
  <c r="F14" i="10"/>
  <c r="L25" i="13"/>
  <c r="K25" i="13"/>
  <c r="C45" i="13"/>
  <c r="J36" i="13"/>
  <c r="C52" i="13" s="1"/>
  <c r="F78" i="13" s="1"/>
  <c r="L24" i="13"/>
  <c r="K24" i="13"/>
  <c r="H193" i="10"/>
  <c r="Q197" i="10" s="1"/>
  <c r="Q191" i="10"/>
  <c r="Q154" i="10"/>
  <c r="Q155" i="10" s="1"/>
  <c r="H156" i="10"/>
  <c r="Q160" i="10" s="1"/>
  <c r="I156" i="10"/>
  <c r="R160" i="10" s="1"/>
  <c r="I61" i="10"/>
  <c r="L63" i="10" s="1"/>
  <c r="O63" i="10" s="1"/>
  <c r="P35" i="10"/>
  <c r="P34" i="10"/>
  <c r="H54" i="10"/>
  <c r="Q55" i="10" s="1"/>
  <c r="Q52" i="10"/>
  <c r="Q53" i="10" s="1"/>
  <c r="I54" i="10"/>
  <c r="R55" i="10" s="1"/>
  <c r="R52" i="10"/>
  <c r="L60" i="10"/>
  <c r="O59" i="10"/>
  <c r="H27" i="10"/>
  <c r="H29" i="10" s="1"/>
  <c r="H30" i="10" s="1"/>
  <c r="C31" i="2"/>
  <c r="G18" i="2"/>
  <c r="B92" i="2" s="1"/>
  <c r="H10" i="2"/>
  <c r="G10" i="2"/>
  <c r="I11" i="2"/>
  <c r="D24" i="2"/>
  <c r="D29" i="2"/>
  <c r="A105" i="2"/>
  <c r="B105" i="2" s="1"/>
  <c r="D26" i="2"/>
  <c r="C32" i="2"/>
  <c r="U52" i="10" l="1"/>
  <c r="U197" i="10"/>
  <c r="H11" i="2"/>
  <c r="H12" i="2" s="1"/>
  <c r="H13" i="2" s="1"/>
  <c r="C10" i="2"/>
  <c r="C11" i="2" s="1"/>
  <c r="D10" i="2"/>
  <c r="D11" i="2" s="1"/>
  <c r="C18" i="2"/>
  <c r="D18" i="2"/>
  <c r="C6" i="10"/>
  <c r="C5" i="10"/>
  <c r="V202" i="10"/>
  <c r="K8" i="10"/>
  <c r="I8" i="10"/>
  <c r="N200" i="10"/>
  <c r="N164" i="10"/>
  <c r="C19" i="10"/>
  <c r="D19" i="10" s="1"/>
  <c r="E19" i="10" s="1"/>
  <c r="F19" i="10" s="1"/>
  <c r="D195" i="10"/>
  <c r="F195" i="10" s="1"/>
  <c r="I200" i="10" s="1"/>
  <c r="C344" i="11"/>
  <c r="C346" i="11" s="1"/>
  <c r="C347" i="11" s="1"/>
  <c r="C282" i="11"/>
  <c r="C284" i="11" s="1"/>
  <c r="C285" i="11" s="1"/>
  <c r="C158" i="11"/>
  <c r="C160" i="11" s="1"/>
  <c r="C161" i="11" s="1"/>
  <c r="E228" i="11"/>
  <c r="C224" i="11"/>
  <c r="C225" i="11" s="1"/>
  <c r="E104" i="11"/>
  <c r="C388" i="11" s="1"/>
  <c r="C100" i="11"/>
  <c r="C101" i="11" s="1"/>
  <c r="C38" i="11"/>
  <c r="E42" i="11"/>
  <c r="C387" i="11" s="1"/>
  <c r="P31" i="20"/>
  <c r="P30" i="20"/>
  <c r="J78" i="13"/>
  <c r="B79" i="13"/>
  <c r="G78" i="13"/>
  <c r="H78" i="13" s="1"/>
  <c r="I78" i="13" s="1"/>
  <c r="C53" i="13"/>
  <c r="U55" i="10"/>
  <c r="Q192" i="10"/>
  <c r="U191" i="10"/>
  <c r="Q156" i="10"/>
  <c r="R53" i="10"/>
  <c r="U53" i="10" s="1"/>
  <c r="L61" i="10"/>
  <c r="O61" i="10" s="1"/>
  <c r="O60" i="10"/>
  <c r="C24" i="2"/>
  <c r="F11" i="2"/>
  <c r="C7" i="10" s="1"/>
  <c r="E10" i="2"/>
  <c r="E11" i="2" s="1"/>
  <c r="E12" i="2" s="1"/>
  <c r="A100" i="2"/>
  <c r="B100" i="2" s="1"/>
  <c r="A101" i="2"/>
  <c r="B101" i="2" s="1"/>
  <c r="D25" i="2"/>
  <c r="F17" i="2"/>
  <c r="D30" i="2"/>
  <c r="A106" i="2"/>
  <c r="B106" i="2" s="1"/>
  <c r="E30" i="13" l="1"/>
  <c r="N201" i="10"/>
  <c r="N204" i="10"/>
  <c r="T82" i="10"/>
  <c r="T85" i="10" s="1"/>
  <c r="C16" i="10"/>
  <c r="D16" i="10" s="1"/>
  <c r="E16" i="10" s="1"/>
  <c r="F16" i="10" s="1"/>
  <c r="D82" i="10"/>
  <c r="E89" i="10" s="1"/>
  <c r="D89" i="10" s="1"/>
  <c r="B79" i="10"/>
  <c r="I5" i="10"/>
  <c r="L115" i="10"/>
  <c r="M115" i="10" s="1"/>
  <c r="D94" i="10"/>
  <c r="E94" i="10" s="1"/>
  <c r="E128" i="10"/>
  <c r="N89" i="10"/>
  <c r="K5" i="10"/>
  <c r="B98" i="10" s="1"/>
  <c r="E98" i="10" s="1"/>
  <c r="D86" i="10"/>
  <c r="F86" i="10" s="1"/>
  <c r="C91" i="10" s="1"/>
  <c r="T154" i="10"/>
  <c r="I7" i="10"/>
  <c r="N163" i="10"/>
  <c r="K7" i="10"/>
  <c r="U202" i="10"/>
  <c r="D30" i="13" s="1"/>
  <c r="F14" i="20" s="1"/>
  <c r="C18" i="10"/>
  <c r="D18" i="10" s="1"/>
  <c r="D158" i="10"/>
  <c r="F158" i="10" s="1"/>
  <c r="I163" i="10" s="1"/>
  <c r="L200" i="10"/>
  <c r="I202" i="10"/>
  <c r="L204" i="10" s="1"/>
  <c r="L205" i="10" s="1"/>
  <c r="F128" i="10"/>
  <c r="D117" i="10"/>
  <c r="E126" i="10" s="1"/>
  <c r="F126" i="10" s="1"/>
  <c r="B114" i="10"/>
  <c r="C17" i="10"/>
  <c r="D17" i="10" s="1"/>
  <c r="Y117" i="10"/>
  <c r="Y120" i="10" s="1"/>
  <c r="D123" i="10"/>
  <c r="F123" i="10" s="1"/>
  <c r="K6" i="10"/>
  <c r="B135" i="10" s="1"/>
  <c r="E135" i="10" s="1"/>
  <c r="I6" i="10"/>
  <c r="N126" i="10"/>
  <c r="B209" i="10"/>
  <c r="B172" i="10"/>
  <c r="E172" i="10" s="1"/>
  <c r="E352" i="11"/>
  <c r="C392" i="11" s="1"/>
  <c r="C348" i="11"/>
  <c r="C349" i="11" s="1"/>
  <c r="E290" i="11"/>
  <c r="C391" i="11" s="1"/>
  <c r="C286" i="11"/>
  <c r="C287" i="11" s="1"/>
  <c r="E166" i="11"/>
  <c r="C389" i="11" s="1"/>
  <c r="C162" i="11"/>
  <c r="C163" i="11" s="1"/>
  <c r="E101" i="11"/>
  <c r="H53" i="13" s="1"/>
  <c r="C103" i="11"/>
  <c r="C109" i="11" s="1"/>
  <c r="C102" i="11"/>
  <c r="C110" i="11" s="1"/>
  <c r="C122" i="11"/>
  <c r="C107" i="11"/>
  <c r="C108" i="11"/>
  <c r="C106" i="11"/>
  <c r="C39" i="11"/>
  <c r="E225" i="11"/>
  <c r="C246" i="11"/>
  <c r="C227" i="11"/>
  <c r="C233" i="11" s="1"/>
  <c r="C226" i="11"/>
  <c r="C234" i="11" s="1"/>
  <c r="C231" i="11"/>
  <c r="C232" i="11"/>
  <c r="C230" i="11"/>
  <c r="F79" i="13"/>
  <c r="Q193" i="10"/>
  <c r="U192" i="10"/>
  <c r="Q157" i="10"/>
  <c r="O30" i="10"/>
  <c r="C37" i="10"/>
  <c r="D37" i="10" s="1"/>
  <c r="E64" i="10"/>
  <c r="E66" i="10"/>
  <c r="D31" i="2"/>
  <c r="F18" i="2"/>
  <c r="C9" i="10" s="1"/>
  <c r="E17" i="2"/>
  <c r="C91" i="2"/>
  <c r="D91" i="2" s="1"/>
  <c r="H14" i="2"/>
  <c r="E18" i="10" l="1"/>
  <c r="F18" i="10" s="1"/>
  <c r="L11" i="20"/>
  <c r="M11" i="20" s="1"/>
  <c r="M20" i="20" s="1"/>
  <c r="G114" i="10"/>
  <c r="F117" i="10" s="1"/>
  <c r="H117" i="10" s="1"/>
  <c r="H114" i="10"/>
  <c r="G117" i="10" s="1"/>
  <c r="I117" i="10" s="1"/>
  <c r="L201" i="10"/>
  <c r="O201" i="10" s="1"/>
  <c r="O200" i="10"/>
  <c r="F89" i="10"/>
  <c r="B91" i="10" s="1"/>
  <c r="I89" i="10" s="1"/>
  <c r="H123" i="10"/>
  <c r="U126" i="10"/>
  <c r="D27" i="13" s="1"/>
  <c r="C126" i="10"/>
  <c r="G127" i="10"/>
  <c r="L10" i="20"/>
  <c r="M10" i="20" s="1"/>
  <c r="M19" i="20" s="1"/>
  <c r="H79" i="10"/>
  <c r="G82" i="10" s="1"/>
  <c r="I82" i="10" s="1"/>
  <c r="G79" i="10"/>
  <c r="F82" i="10" s="1"/>
  <c r="H82" i="10" s="1"/>
  <c r="N205" i="10"/>
  <c r="O205" i="10" s="1"/>
  <c r="O204" i="10"/>
  <c r="V126" i="10"/>
  <c r="N130" i="10"/>
  <c r="E209" i="10"/>
  <c r="C128" i="10"/>
  <c r="I123" i="10"/>
  <c r="B128" i="10"/>
  <c r="D126" i="10"/>
  <c r="I165" i="10"/>
  <c r="L167" i="10" s="1"/>
  <c r="L168" i="10" s="1"/>
  <c r="L163" i="10"/>
  <c r="L164" i="10" s="1"/>
  <c r="O164" i="10" s="1"/>
  <c r="N167" i="10"/>
  <c r="H105" i="10"/>
  <c r="C98" i="10"/>
  <c r="F98" i="10" s="1"/>
  <c r="G14" i="20"/>
  <c r="F30" i="13"/>
  <c r="L30" i="13" s="1"/>
  <c r="E41" i="13"/>
  <c r="I41" i="13"/>
  <c r="C20" i="10"/>
  <c r="D20" i="10" s="1"/>
  <c r="K9" i="10"/>
  <c r="I9" i="10"/>
  <c r="E17" i="10"/>
  <c r="F17" i="10" s="1"/>
  <c r="T155" i="10"/>
  <c r="T160" i="10"/>
  <c r="V166" i="10" s="1"/>
  <c r="E29" i="13" s="1"/>
  <c r="U154" i="10"/>
  <c r="V91" i="10"/>
  <c r="N93" i="10"/>
  <c r="W202" i="10"/>
  <c r="D205" i="10" s="1"/>
  <c r="E205" i="10" s="1"/>
  <c r="C209" i="10" s="1"/>
  <c r="F209" i="10" s="1"/>
  <c r="E349" i="11"/>
  <c r="C350" i="11"/>
  <c r="C358" i="11" s="1"/>
  <c r="C351" i="11"/>
  <c r="C357" i="11" s="1"/>
  <c r="C355" i="11"/>
  <c r="C370" i="11"/>
  <c r="C354" i="11"/>
  <c r="C356" i="11"/>
  <c r="C308" i="11"/>
  <c r="C288" i="11"/>
  <c r="C296" i="11" s="1"/>
  <c r="C292" i="11"/>
  <c r="E287" i="11"/>
  <c r="C289" i="11"/>
  <c r="C295" i="11" s="1"/>
  <c r="C293" i="11"/>
  <c r="C294" i="11"/>
  <c r="C165" i="11"/>
  <c r="C171" i="11" s="1"/>
  <c r="E163" i="11"/>
  <c r="C168" i="11"/>
  <c r="C184" i="11"/>
  <c r="C164" i="11"/>
  <c r="C172" i="11" s="1"/>
  <c r="C169" i="11"/>
  <c r="C170" i="11"/>
  <c r="C111" i="11"/>
  <c r="C112" i="11" s="1"/>
  <c r="C113" i="11" s="1"/>
  <c r="C114" i="11" s="1"/>
  <c r="E114" i="11" s="1"/>
  <c r="D388" i="11" s="1"/>
  <c r="I104" i="11"/>
  <c r="J105" i="11" s="1"/>
  <c r="J106" i="11" s="1"/>
  <c r="J107" i="11" s="1"/>
  <c r="F31" i="20"/>
  <c r="G31" i="20" s="1"/>
  <c r="B388" i="11"/>
  <c r="D53" i="13"/>
  <c r="E53" i="13"/>
  <c r="F53" i="13" s="1"/>
  <c r="E39" i="11"/>
  <c r="B387" i="11" s="1"/>
  <c r="C40" i="11"/>
  <c r="C48" i="11" s="1"/>
  <c r="C60" i="11"/>
  <c r="C46" i="11"/>
  <c r="C45" i="11"/>
  <c r="C44" i="11"/>
  <c r="C41" i="11"/>
  <c r="C47" i="11" s="1"/>
  <c r="I228" i="11"/>
  <c r="J229" i="11" s="1"/>
  <c r="J230" i="11" s="1"/>
  <c r="J231" i="11" s="1"/>
  <c r="C235" i="11"/>
  <c r="C236" i="11" s="1"/>
  <c r="C237" i="11" s="1"/>
  <c r="C238" i="11" s="1"/>
  <c r="E238" i="11" s="1"/>
  <c r="D390" i="11" s="1"/>
  <c r="C390" i="11"/>
  <c r="F33" i="20"/>
  <c r="B390" i="11"/>
  <c r="J79" i="13"/>
  <c r="G79" i="13"/>
  <c r="H79" i="13" s="1"/>
  <c r="I79" i="13" s="1"/>
  <c r="B81" i="13"/>
  <c r="I81" i="13" s="1"/>
  <c r="Q194" i="10"/>
  <c r="U193" i="10"/>
  <c r="Q158" i="10"/>
  <c r="C68" i="10"/>
  <c r="F68" i="10" s="1"/>
  <c r="C36" i="10"/>
  <c r="D36" i="10" s="1"/>
  <c r="H15" i="2"/>
  <c r="H16" i="2" s="1"/>
  <c r="H17" i="2" s="1"/>
  <c r="H18" i="2" s="1"/>
  <c r="D32" i="2"/>
  <c r="C92" i="2"/>
  <c r="D92" i="2" s="1"/>
  <c r="E18" i="2"/>
  <c r="I126" i="10" l="1"/>
  <c r="L126" i="10" s="1"/>
  <c r="O126" i="10" s="1"/>
  <c r="G13" i="20"/>
  <c r="E40" i="13"/>
  <c r="I40" i="13"/>
  <c r="O163" i="10"/>
  <c r="W126" i="10"/>
  <c r="D131" i="10" s="1"/>
  <c r="E131" i="10" s="1"/>
  <c r="E27" i="13"/>
  <c r="I84" i="10"/>
  <c r="R85" i="10" s="1"/>
  <c r="R82" i="10"/>
  <c r="F11" i="20"/>
  <c r="T156" i="10"/>
  <c r="U155" i="10"/>
  <c r="E20" i="10"/>
  <c r="F20" i="10" s="1"/>
  <c r="E35" i="20"/>
  <c r="H14" i="20"/>
  <c r="L35" i="20" s="1"/>
  <c r="I35" i="20"/>
  <c r="C35" i="20"/>
  <c r="H35" i="20"/>
  <c r="M35" i="20" s="1"/>
  <c r="K35" i="20"/>
  <c r="K14" i="20"/>
  <c r="N168" i="10"/>
  <c r="O167" i="10"/>
  <c r="Q167" i="10" s="1"/>
  <c r="V165" i="10" s="1"/>
  <c r="H216" i="10"/>
  <c r="I119" i="10"/>
  <c r="L117" i="10"/>
  <c r="W117" i="10"/>
  <c r="E26" i="13"/>
  <c r="W91" i="10"/>
  <c r="L89" i="10"/>
  <c r="O89" i="10" s="1"/>
  <c r="I91" i="10"/>
  <c r="L93" i="10" s="1"/>
  <c r="O93" i="10" s="1"/>
  <c r="H119" i="10"/>
  <c r="K117" i="10"/>
  <c r="V117" i="10" s="1"/>
  <c r="I105" i="10"/>
  <c r="J105" i="10" s="1"/>
  <c r="J107" i="10" s="1"/>
  <c r="G106" i="10" s="1"/>
  <c r="D107" i="10"/>
  <c r="F107" i="10" s="1"/>
  <c r="O168" i="10"/>
  <c r="H84" i="10"/>
  <c r="Q85" i="10" s="1"/>
  <c r="Q82" i="10"/>
  <c r="H126" i="10"/>
  <c r="Q201" i="10"/>
  <c r="Q200" i="10"/>
  <c r="B392" i="11"/>
  <c r="F35" i="20"/>
  <c r="I352" i="11"/>
  <c r="J353" i="11" s="1"/>
  <c r="J354" i="11" s="1"/>
  <c r="J355" i="11" s="1"/>
  <c r="C359" i="11"/>
  <c r="C360" i="11" s="1"/>
  <c r="C361" i="11" s="1"/>
  <c r="C362" i="11" s="1"/>
  <c r="E362" i="11" s="1"/>
  <c r="D392" i="11" s="1"/>
  <c r="I290" i="11"/>
  <c r="J291" i="11" s="1"/>
  <c r="J292" i="11" s="1"/>
  <c r="J293" i="11" s="1"/>
  <c r="C297" i="11"/>
  <c r="C298" i="11" s="1"/>
  <c r="B391" i="11"/>
  <c r="F34" i="20"/>
  <c r="F32" i="20"/>
  <c r="B389" i="11"/>
  <c r="I166" i="11"/>
  <c r="J167" i="11" s="1"/>
  <c r="J168" i="11" s="1"/>
  <c r="J169" i="11" s="1"/>
  <c r="C173" i="11"/>
  <c r="C174" i="11" s="1"/>
  <c r="D52" i="13"/>
  <c r="C115" i="11"/>
  <c r="C118" i="11"/>
  <c r="G53" i="13"/>
  <c r="C49" i="11"/>
  <c r="C50" i="11" s="1"/>
  <c r="C51" i="11" s="1"/>
  <c r="C52" i="11" s="1"/>
  <c r="E52" i="11" s="1"/>
  <c r="D387" i="11" s="1"/>
  <c r="I42" i="11"/>
  <c r="J43" i="11" s="1"/>
  <c r="J44" i="11" s="1"/>
  <c r="J45" i="11" s="1"/>
  <c r="E52" i="13"/>
  <c r="F52" i="13" s="1"/>
  <c r="F30" i="20"/>
  <c r="G30" i="20" s="1"/>
  <c r="H52" i="13"/>
  <c r="C239" i="11"/>
  <c r="C242" i="11"/>
  <c r="U194" i="10"/>
  <c r="Q195" i="10"/>
  <c r="U195" i="10" s="1"/>
  <c r="C39" i="10"/>
  <c r="F39" i="10" s="1"/>
  <c r="G35" i="20" l="1"/>
  <c r="I128" i="10"/>
  <c r="L130" i="10" s="1"/>
  <c r="O130" i="10" s="1"/>
  <c r="Q168" i="10"/>
  <c r="Z117" i="10"/>
  <c r="G10" i="20"/>
  <c r="C46" i="13"/>
  <c r="E54" i="13" s="1"/>
  <c r="F54" i="13" s="1"/>
  <c r="F38" i="13"/>
  <c r="F39" i="13"/>
  <c r="J39" i="13" s="1"/>
  <c r="F26" i="13"/>
  <c r="E38" i="13"/>
  <c r="I38" i="13"/>
  <c r="D218" i="10"/>
  <c r="F218" i="10" s="1"/>
  <c r="I216" i="10"/>
  <c r="J216" i="10" s="1"/>
  <c r="O35" i="20"/>
  <c r="T157" i="10"/>
  <c r="U156" i="10"/>
  <c r="G11" i="20"/>
  <c r="C34" i="20" s="1"/>
  <c r="E39" i="13"/>
  <c r="C47" i="13"/>
  <c r="E55" i="13" s="1"/>
  <c r="F55" i="13" s="1"/>
  <c r="I39" i="13"/>
  <c r="F27" i="13"/>
  <c r="L28" i="13"/>
  <c r="E28" i="13"/>
  <c r="U166" i="10"/>
  <c r="W165" i="10"/>
  <c r="D168" i="10" s="1"/>
  <c r="E168" i="10" s="1"/>
  <c r="H142" i="10"/>
  <c r="C135" i="10"/>
  <c r="U82" i="10"/>
  <c r="Q164" i="10"/>
  <c r="Q163" i="10"/>
  <c r="K119" i="10"/>
  <c r="V120" i="10"/>
  <c r="H128" i="10"/>
  <c r="K130" i="10" s="1"/>
  <c r="K126" i="10"/>
  <c r="L119" i="10"/>
  <c r="W120" i="10"/>
  <c r="J35" i="20"/>
  <c r="N35" i="20" s="1"/>
  <c r="U85" i="10"/>
  <c r="H34" i="20"/>
  <c r="M34" i="20" s="1"/>
  <c r="K13" i="20"/>
  <c r="K22" i="20" s="1"/>
  <c r="K34" i="20"/>
  <c r="I34" i="20"/>
  <c r="T12" i="20"/>
  <c r="C366" i="11"/>
  <c r="C363" i="11"/>
  <c r="C299" i="11"/>
  <c r="C300" i="11" s="1"/>
  <c r="E300" i="11" s="1"/>
  <c r="D391" i="11" s="1"/>
  <c r="C175" i="11"/>
  <c r="C176" i="11" s="1"/>
  <c r="E176" i="11" s="1"/>
  <c r="D389" i="11" s="1"/>
  <c r="C119" i="11"/>
  <c r="E388" i="11"/>
  <c r="C116" i="11"/>
  <c r="C117" i="11" s="1"/>
  <c r="C120" i="11"/>
  <c r="C56" i="11"/>
  <c r="C53" i="11"/>
  <c r="G52" i="13"/>
  <c r="C243" i="11"/>
  <c r="E390" i="11"/>
  <c r="C240" i="11"/>
  <c r="C241" i="11" s="1"/>
  <c r="C244" i="11"/>
  <c r="U160" i="10"/>
  <c r="B136" i="10" l="1"/>
  <c r="F135" i="10"/>
  <c r="C55" i="13"/>
  <c r="D55" i="13"/>
  <c r="G55" i="13" s="1"/>
  <c r="I142" i="10"/>
  <c r="J142" i="10" s="1"/>
  <c r="J144" i="10" s="1"/>
  <c r="G143" i="10" s="1"/>
  <c r="D144" i="10"/>
  <c r="F144" i="10" s="1"/>
  <c r="P35" i="20"/>
  <c r="J38" i="13"/>
  <c r="T158" i="10"/>
  <c r="U158" i="10" s="1"/>
  <c r="U157" i="10"/>
  <c r="L27" i="13"/>
  <c r="F40" i="13"/>
  <c r="J40" i="13" s="1"/>
  <c r="T11" i="20"/>
  <c r="I33" i="20"/>
  <c r="B34" i="20"/>
  <c r="K33" i="20"/>
  <c r="H33" i="20"/>
  <c r="M33" i="20" s="1"/>
  <c r="E33" i="20"/>
  <c r="G33" i="20" s="1"/>
  <c r="K11" i="20"/>
  <c r="K20" i="20" s="1"/>
  <c r="C33" i="20"/>
  <c r="H11" i="20"/>
  <c r="L33" i="20" s="1"/>
  <c r="F28" i="13"/>
  <c r="C49" i="13" s="1"/>
  <c r="E57" i="13" s="1"/>
  <c r="F57" i="13" s="1"/>
  <c r="G12" i="20"/>
  <c r="H12" i="20" s="1"/>
  <c r="J34" i="20"/>
  <c r="N34" i="20" s="1"/>
  <c r="C48" i="13"/>
  <c r="E56" i="13" s="1"/>
  <c r="F56" i="13" s="1"/>
  <c r="Z120" i="10"/>
  <c r="W166" i="10"/>
  <c r="D170" i="10" s="1"/>
  <c r="E170" i="10" s="1"/>
  <c r="D29" i="13"/>
  <c r="J218" i="10"/>
  <c r="G217" i="10" s="1"/>
  <c r="L26" i="13"/>
  <c r="K26" i="13"/>
  <c r="K27" i="13"/>
  <c r="T10" i="20"/>
  <c r="B33" i="20"/>
  <c r="K32" i="20"/>
  <c r="K10" i="20"/>
  <c r="K19" i="20" s="1"/>
  <c r="H32" i="20"/>
  <c r="M32" i="20" s="1"/>
  <c r="H10" i="20"/>
  <c r="L32" i="20" s="1"/>
  <c r="I32" i="20"/>
  <c r="J32" i="20" s="1"/>
  <c r="N32" i="20" s="1"/>
  <c r="E32" i="20"/>
  <c r="G32" i="20" s="1"/>
  <c r="C32" i="20"/>
  <c r="C368" i="11"/>
  <c r="C364" i="11"/>
  <c r="C365" i="11" s="1"/>
  <c r="E392" i="11"/>
  <c r="C367" i="11"/>
  <c r="C304" i="11"/>
  <c r="C301" i="11"/>
  <c r="C177" i="11"/>
  <c r="C180" i="11"/>
  <c r="C123" i="11"/>
  <c r="G388" i="11" s="1"/>
  <c r="C121" i="11"/>
  <c r="F388" i="11" s="1"/>
  <c r="C57" i="11"/>
  <c r="E387" i="11"/>
  <c r="C58" i="11"/>
  <c r="C54" i="11"/>
  <c r="C55" i="11" s="1"/>
  <c r="C245" i="11"/>
  <c r="F390" i="11" s="1"/>
  <c r="C247" i="11"/>
  <c r="G390" i="11" s="1"/>
  <c r="O32" i="20" l="1"/>
  <c r="P32" i="20"/>
  <c r="R179" i="10"/>
  <c r="C172" i="10"/>
  <c r="F172" i="10" s="1"/>
  <c r="H55" i="13"/>
  <c r="J83" i="13"/>
  <c r="J33" i="20"/>
  <c r="N33" i="20" s="1"/>
  <c r="F29" i="13"/>
  <c r="F13" i="20"/>
  <c r="H13" i="20" s="1"/>
  <c r="O33" i="20"/>
  <c r="P33" i="20"/>
  <c r="C56" i="13"/>
  <c r="D56" i="13"/>
  <c r="G56" i="13" s="1"/>
  <c r="C54" i="13"/>
  <c r="D54" i="13"/>
  <c r="G54" i="13" s="1"/>
  <c r="H179" i="10"/>
  <c r="C371" i="11"/>
  <c r="G392" i="11" s="1"/>
  <c r="C369" i="11"/>
  <c r="F392" i="11" s="1"/>
  <c r="C306" i="11"/>
  <c r="C302" i="11"/>
  <c r="C303" i="11" s="1"/>
  <c r="E391" i="11"/>
  <c r="C305" i="11"/>
  <c r="E389" i="11"/>
  <c r="C181" i="11"/>
  <c r="C182" i="11"/>
  <c r="C178" i="11"/>
  <c r="C179" i="11" s="1"/>
  <c r="C59" i="11"/>
  <c r="F387" i="11" s="1"/>
  <c r="C61" i="11"/>
  <c r="G387" i="11" s="1"/>
  <c r="I179" i="10" l="1"/>
  <c r="J179" i="10" s="1"/>
  <c r="D181" i="10"/>
  <c r="F181" i="10" s="1"/>
  <c r="H56" i="13"/>
  <c r="F84" i="13"/>
  <c r="F41" i="13"/>
  <c r="J41" i="13" s="1"/>
  <c r="K30" i="13"/>
  <c r="K28" i="13"/>
  <c r="S179" i="10"/>
  <c r="T179" i="10" s="1"/>
  <c r="T181" i="10" s="1"/>
  <c r="Q180" i="10" s="1"/>
  <c r="N181" i="10"/>
  <c r="P181" i="10" s="1"/>
  <c r="H54" i="13"/>
  <c r="J81" i="13"/>
  <c r="L34" i="20"/>
  <c r="B35" i="20"/>
  <c r="E34" i="20"/>
  <c r="G34" i="20" s="1"/>
  <c r="C309" i="11"/>
  <c r="G391" i="11" s="1"/>
  <c r="C307" i="11"/>
  <c r="F391" i="11" s="1"/>
  <c r="C183" i="11"/>
  <c r="F389" i="11" s="1"/>
  <c r="C185" i="11"/>
  <c r="G389" i="11" s="1"/>
  <c r="G84" i="13" l="1"/>
  <c r="H84" i="13" s="1"/>
  <c r="I84" i="13" s="1"/>
  <c r="J84" i="13"/>
  <c r="B86" i="13"/>
  <c r="O34" i="20"/>
  <c r="P34" i="20"/>
  <c r="D57" i="13"/>
  <c r="G57" i="13" s="1"/>
  <c r="C57" i="13"/>
  <c r="J181" i="10"/>
  <c r="G180" i="10" s="1"/>
  <c r="H57" i="13" l="1"/>
  <c r="F86" i="13"/>
  <c r="J86" i="13" l="1"/>
  <c r="G86" i="13"/>
  <c r="H86" i="13" s="1"/>
  <c r="I86" i="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Amin</author>
  </authors>
  <commentList>
    <comment ref="C2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Conductor Casing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 xr:uid="{00000000-0006-0000-0300-000002000000}">
      <text>
        <r>
          <rPr>
            <b/>
            <sz val="8"/>
            <color indexed="81"/>
            <rFont val="Tahoma"/>
            <family val="2"/>
          </rPr>
          <t>Surface Casing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" authorId="0" shapeId="0" xr:uid="{00000000-0006-0000-0300-000003000000}">
      <text>
        <r>
          <rPr>
            <b/>
            <sz val="8"/>
            <color indexed="81"/>
            <rFont val="Tahoma"/>
            <family val="2"/>
          </rPr>
          <t>Intermediat Casing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5" authorId="0" shapeId="0" xr:uid="{00000000-0006-0000-0300-000004000000}">
      <text>
        <r>
          <rPr>
            <b/>
            <sz val="8"/>
            <color indexed="81"/>
            <rFont val="Tahoma"/>
            <family val="2"/>
          </rPr>
          <t>Intermediat Casing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300-000005000000}">
      <text>
        <r>
          <rPr>
            <b/>
            <sz val="8"/>
            <color indexed="81"/>
            <rFont val="Tahoma"/>
            <family val="2"/>
          </rPr>
          <t>Intermediat Casing</t>
        </r>
        <r>
          <rPr>
            <sz val="9"/>
            <color indexed="81"/>
            <rFont val="Tahoma"/>
            <family val="2"/>
          </rPr>
          <t xml:space="preserve">
Liner</t>
        </r>
      </text>
    </comment>
    <comment ref="C7" authorId="0" shapeId="0" xr:uid="{00000000-0006-0000-0300-000006000000}">
      <text>
        <r>
          <rPr>
            <b/>
            <sz val="8"/>
            <color indexed="81"/>
            <rFont val="Tahoma"/>
            <family val="2"/>
          </rPr>
          <t xml:space="preserve">Production Casing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 shapeId="0" xr:uid="{00000000-0006-0000-0300-000007000000}">
      <text>
        <r>
          <rPr>
            <b/>
            <sz val="8"/>
            <color indexed="81"/>
            <rFont val="Tahoma"/>
            <family val="2"/>
          </rPr>
          <t>Production Liner</t>
        </r>
      </text>
    </comment>
  </commentList>
</comments>
</file>

<file path=xl/sharedStrings.xml><?xml version="1.0" encoding="utf-8"?>
<sst xmlns="http://schemas.openxmlformats.org/spreadsheetml/2006/main" count="1976" uniqueCount="449">
  <si>
    <t>Point</t>
  </si>
  <si>
    <t>KOP1</t>
  </si>
  <si>
    <t>Origin1</t>
  </si>
  <si>
    <t>DOP</t>
  </si>
  <si>
    <t>EDO</t>
  </si>
  <si>
    <t>Target</t>
  </si>
  <si>
    <t>Roatry</t>
  </si>
  <si>
    <t>Longtitude(m)</t>
  </si>
  <si>
    <t>Latitude(m)</t>
  </si>
  <si>
    <t>Altitude(m-asl)</t>
  </si>
  <si>
    <t>V</t>
  </si>
  <si>
    <t>D</t>
  </si>
  <si>
    <t>M</t>
  </si>
  <si>
    <t>θ</t>
  </si>
  <si>
    <t>α</t>
  </si>
  <si>
    <t>r</t>
  </si>
  <si>
    <t>KOP2</t>
  </si>
  <si>
    <t>Origin2</t>
  </si>
  <si>
    <t>BUP</t>
  </si>
  <si>
    <t>Landing point</t>
  </si>
  <si>
    <t>Total depth</t>
  </si>
  <si>
    <t>Surf-KOP(TVD)</t>
  </si>
  <si>
    <t>Target-KOP2(TVD)</t>
  </si>
  <si>
    <t>Tangent length(TVD)</t>
  </si>
  <si>
    <t>Horizental sec</t>
  </si>
  <si>
    <t>Azimut</t>
  </si>
  <si>
    <t>X</t>
  </si>
  <si>
    <t>Y</t>
  </si>
  <si>
    <t>σ yield</t>
  </si>
  <si>
    <t>dn</t>
  </si>
  <si>
    <t>G.G</t>
  </si>
  <si>
    <t>As</t>
  </si>
  <si>
    <t>Min Fracture Pressure</t>
  </si>
  <si>
    <t>Max Mud Weigth</t>
  </si>
  <si>
    <t>P.V</t>
  </si>
  <si>
    <t>12 1/4 - 14 3/4</t>
  </si>
  <si>
    <t>10 5/8 - 12 1/4</t>
  </si>
  <si>
    <t>open hole</t>
  </si>
  <si>
    <t>Casing Diameter(in)</t>
  </si>
  <si>
    <t>(in)</t>
  </si>
  <si>
    <t>Max head Pressure(psi)</t>
  </si>
  <si>
    <t>G.G(lb/ft)</t>
  </si>
  <si>
    <t>casing Shoe(ft)</t>
  </si>
  <si>
    <t>MW</t>
  </si>
  <si>
    <t>P bottom</t>
  </si>
  <si>
    <t>P surf</t>
  </si>
  <si>
    <t>Brine weigth(ppg)</t>
  </si>
  <si>
    <t>P bottom(psi)</t>
  </si>
  <si>
    <t>P surf(psi)</t>
  </si>
  <si>
    <t xml:space="preserve">Back up </t>
  </si>
  <si>
    <t>Safety FACTOR</t>
  </si>
  <si>
    <t>Burst Design</t>
  </si>
  <si>
    <t>t</t>
  </si>
  <si>
    <t>P burst(psi)</t>
  </si>
  <si>
    <t>di</t>
  </si>
  <si>
    <t>Collapse</t>
  </si>
  <si>
    <t>H-40 94</t>
  </si>
  <si>
    <t>Tension</t>
  </si>
  <si>
    <t>lbf/ft</t>
  </si>
  <si>
    <t>grade</t>
  </si>
  <si>
    <t>Mud pressure</t>
  </si>
  <si>
    <t>Tension(lbf)</t>
  </si>
  <si>
    <t>effect on burst</t>
  </si>
  <si>
    <t>effect on collapse</t>
  </si>
  <si>
    <t>tension top</t>
  </si>
  <si>
    <t>compression bottom</t>
  </si>
  <si>
    <t>bottom(compression)</t>
  </si>
  <si>
    <t>top(tension)</t>
  </si>
  <si>
    <t>with tension effect</t>
  </si>
  <si>
    <t>Grade</t>
  </si>
  <si>
    <t>MW(ppg)</t>
  </si>
  <si>
    <t>Depth(ft)</t>
  </si>
  <si>
    <t>P surf(P bottom-G.G)</t>
  </si>
  <si>
    <t>Safety</t>
  </si>
  <si>
    <t>IP(psi)</t>
  </si>
  <si>
    <t>Psurf</t>
  </si>
  <si>
    <t>TOP Bur</t>
  </si>
  <si>
    <t>Bottom Bur</t>
  </si>
  <si>
    <t>BP of Pipe(psi)</t>
  </si>
  <si>
    <t>Burst-Metraj (  …   to   total depth)</t>
  </si>
  <si>
    <t>H-40 48</t>
  </si>
  <si>
    <t>J-55 54.5</t>
  </si>
  <si>
    <t>next step MW</t>
  </si>
  <si>
    <t>TOP Colla</t>
  </si>
  <si>
    <t>Bottom Colla</t>
  </si>
  <si>
    <t>Colla of Pipe(psi)</t>
  </si>
  <si>
    <t>Collapse-Metraj (0    to  …)</t>
  </si>
  <si>
    <t>J-55 61</t>
  </si>
  <si>
    <t>length</t>
  </si>
  <si>
    <t>section1</t>
  </si>
  <si>
    <t>section2</t>
  </si>
  <si>
    <t>from</t>
  </si>
  <si>
    <t>to</t>
  </si>
  <si>
    <t>coupling</t>
  </si>
  <si>
    <t>length(ft)</t>
  </si>
  <si>
    <t>we ignore tension effect.</t>
  </si>
  <si>
    <t>Surf Casing  20"</t>
  </si>
  <si>
    <r>
      <t>Intermediat Casing 13</t>
    </r>
    <r>
      <rPr>
        <b/>
        <sz val="11"/>
        <color theme="0"/>
        <rFont val="Calibri"/>
        <family val="2"/>
      </rPr>
      <t>⅜"</t>
    </r>
  </si>
  <si>
    <r>
      <t>Intermediat Casing 11</t>
    </r>
    <r>
      <rPr>
        <b/>
        <sz val="8"/>
        <color theme="0"/>
        <rFont val="Calibri"/>
        <family val="2"/>
        <scheme val="minor"/>
      </rPr>
      <t>3/4"</t>
    </r>
  </si>
  <si>
    <t>H-40 42</t>
  </si>
  <si>
    <t>L</t>
  </si>
  <si>
    <t>L'</t>
  </si>
  <si>
    <t>y(psi)</t>
  </si>
  <si>
    <t>Lj</t>
  </si>
  <si>
    <t>Inside Diameter</t>
  </si>
  <si>
    <t>thickness</t>
  </si>
  <si>
    <t>α(degree/100ft)</t>
  </si>
  <si>
    <t>I(momentom)</t>
  </si>
  <si>
    <t>Fa</t>
  </si>
  <si>
    <t>K</t>
  </si>
  <si>
    <t>Δ σz (Coupling)</t>
  </si>
  <si>
    <t>Tension/As</t>
  </si>
  <si>
    <t>σ  yield</t>
  </si>
  <si>
    <t>Δσz</t>
  </si>
  <si>
    <r>
      <t>(Tension/As) +</t>
    </r>
    <r>
      <rPr>
        <b/>
        <sz val="9"/>
        <color theme="1"/>
        <rFont val="Calibri"/>
        <family val="2"/>
      </rPr>
      <t>σ z</t>
    </r>
  </si>
  <si>
    <t>Bending</t>
  </si>
  <si>
    <t>X(ft)</t>
  </si>
  <si>
    <t>Y(ft)</t>
  </si>
  <si>
    <t>H-40 32.3</t>
  </si>
  <si>
    <t>P collapse-P back up</t>
  </si>
  <si>
    <t>Pstart</t>
  </si>
  <si>
    <t>liner start</t>
  </si>
  <si>
    <t>over lap</t>
  </si>
  <si>
    <t>length of liner</t>
  </si>
  <si>
    <t>J-55 106.5</t>
  </si>
  <si>
    <t>liner End</t>
  </si>
  <si>
    <t>Pstart liner</t>
  </si>
  <si>
    <t>P bottom liner</t>
  </si>
  <si>
    <t>Back up Liner approuch</t>
  </si>
  <si>
    <t>P start liner</t>
  </si>
  <si>
    <t>P top liner</t>
  </si>
  <si>
    <r>
      <t>Intermediat Casing 9</t>
    </r>
    <r>
      <rPr>
        <b/>
        <sz val="11"/>
        <color theme="0"/>
        <rFont val="Calibri"/>
        <family val="2"/>
      </rPr>
      <t>⅝</t>
    </r>
    <r>
      <rPr>
        <b/>
        <sz val="8"/>
        <color theme="0"/>
        <rFont val="Calibri"/>
        <family val="2"/>
        <scheme val="minor"/>
      </rPr>
      <t>"  Liner</t>
    </r>
  </si>
  <si>
    <t>J-55 23</t>
  </si>
  <si>
    <t>C-75 26</t>
  </si>
  <si>
    <t>Pipe &amp; Casing SIZES:</t>
  </si>
  <si>
    <t>OD(in)</t>
  </si>
  <si>
    <t>ID(in)</t>
  </si>
  <si>
    <t>Type</t>
  </si>
  <si>
    <t>Length(ft)</t>
  </si>
  <si>
    <t>WPF(lb/ft)</t>
  </si>
  <si>
    <t>Drill Pipe Size:</t>
  </si>
  <si>
    <t>Tool Joint:</t>
  </si>
  <si>
    <t>XH</t>
  </si>
  <si>
    <t>Drill collars Size:</t>
  </si>
  <si>
    <t>Casing Size:</t>
  </si>
  <si>
    <t>Liner(1):</t>
  </si>
  <si>
    <t>Liner(2):</t>
  </si>
  <si>
    <t>Liner(3):</t>
  </si>
  <si>
    <t>Liner(4):</t>
  </si>
  <si>
    <t>pump :</t>
  </si>
  <si>
    <t>Make:</t>
  </si>
  <si>
    <t>National Supply</t>
  </si>
  <si>
    <t>Model:</t>
  </si>
  <si>
    <t>12-P-160</t>
  </si>
  <si>
    <t>Stroke length(in):</t>
  </si>
  <si>
    <t>Max Rate SPM:</t>
  </si>
  <si>
    <t>Mech Eff:</t>
  </si>
  <si>
    <t>Vol Eff:</t>
  </si>
  <si>
    <t>MAX Allowable SPM</t>
  </si>
  <si>
    <t>MAX Pump Operating Pressure</t>
  </si>
  <si>
    <t>Type(Dublex or Triblex):</t>
  </si>
  <si>
    <t>Rad(in)</t>
  </si>
  <si>
    <t>OPEN HOLE:</t>
  </si>
  <si>
    <t>1(ft)</t>
  </si>
  <si>
    <t>2(ft)</t>
  </si>
  <si>
    <t>MUD:</t>
  </si>
  <si>
    <t>TYPE</t>
  </si>
  <si>
    <t>Weight(ppg)</t>
  </si>
  <si>
    <t>VISCO(cp)</t>
  </si>
  <si>
    <t>YP(lb/100ft^2)</t>
  </si>
  <si>
    <t>Type surface location:</t>
  </si>
  <si>
    <t>Surface Equipment Constant</t>
  </si>
  <si>
    <t>Min.Ann.Velocity FPM</t>
  </si>
  <si>
    <t>Qmin for min.Ann.Velocity GPM</t>
  </si>
  <si>
    <t>Qsmin For Min.Ann.Velocity gal/stk</t>
  </si>
  <si>
    <t>K(triblex or doublex):</t>
  </si>
  <si>
    <t>Smallest Liner size To Provide Qsmin</t>
  </si>
  <si>
    <t>Actual Qs For Above Liner=Qsa gal/stk</t>
  </si>
  <si>
    <t>Actual GPM with Above Liner GPM(flow Rate)</t>
  </si>
  <si>
    <t>Annular velocity Around D.P FPM</t>
  </si>
  <si>
    <t>Annular velocity Around D.C FPM</t>
  </si>
  <si>
    <t>Pressure Fating Max</t>
  </si>
  <si>
    <t>Pressure Fating of liner(psi)</t>
  </si>
  <si>
    <t>Pressure Drop Of Surface equipment</t>
  </si>
  <si>
    <t>Pressure drop inside D.C psi</t>
  </si>
  <si>
    <t>Pressure drop inside D.P psi</t>
  </si>
  <si>
    <t>Pressure drop Outside D.C psi</t>
  </si>
  <si>
    <t>Pressure drop Outside D.P psi</t>
  </si>
  <si>
    <t>Total loss of existing CIRC.SYS psi</t>
  </si>
  <si>
    <t>Remaining Pressure for jets and pipe to add psi</t>
  </si>
  <si>
    <t>nozzel Combination area and sizes 1/32 in</t>
  </si>
  <si>
    <t>Pressure drop Through Nozzle psi</t>
  </si>
  <si>
    <t>Drill Pipe that can be added ft</t>
  </si>
  <si>
    <t>Depth at which pump shall be fully loaded</t>
  </si>
  <si>
    <t>Nozzel jet velocity FPS</t>
  </si>
  <si>
    <t>Jet impact Force lbf</t>
  </si>
  <si>
    <t>Bit hydrolic Hours Power hp</t>
  </si>
  <si>
    <t>Hydrolic hours power with sq in.of bottom hole=HIS hp/in^2</t>
  </si>
  <si>
    <t>Pump hydrolic HP when fully loaded hhp</t>
  </si>
  <si>
    <t>%HHP at Bit</t>
  </si>
  <si>
    <t>Surface Casing hydraulic design(26"-20")</t>
  </si>
  <si>
    <t>unit</t>
  </si>
  <si>
    <t>36"</t>
  </si>
  <si>
    <t>26"</t>
  </si>
  <si>
    <t>Description</t>
  </si>
  <si>
    <t>OD DP</t>
  </si>
  <si>
    <t>ID DP</t>
  </si>
  <si>
    <t>OD DC</t>
  </si>
  <si>
    <t>ID DC</t>
  </si>
  <si>
    <t>inch</t>
  </si>
  <si>
    <t>Description/Hole</t>
  </si>
  <si>
    <t>Drill Stem Systems</t>
  </si>
  <si>
    <t>Drilling Fluid Systems</t>
  </si>
  <si>
    <t>Bottom Sedimentary</t>
  </si>
  <si>
    <t>Tank Height</t>
  </si>
  <si>
    <t>Empty Up side VOL</t>
  </si>
  <si>
    <t>Empty Tank VOL</t>
  </si>
  <si>
    <t>Pipe VOL</t>
  </si>
  <si>
    <t>Suction Tank</t>
  </si>
  <si>
    <t>Intermediat Tank</t>
  </si>
  <si>
    <t>Shaker Tank</t>
  </si>
  <si>
    <t>Reserve Tank1</t>
  </si>
  <si>
    <t>Reserve Tank2</t>
  </si>
  <si>
    <t>Reserve Tank3</t>
  </si>
  <si>
    <t>bbl</t>
  </si>
  <si>
    <t>---</t>
  </si>
  <si>
    <t>OD Heavy Pipe</t>
  </si>
  <si>
    <t>ID Heavy pipe</t>
  </si>
  <si>
    <t>Surface</t>
  </si>
  <si>
    <t>Conductor</t>
  </si>
  <si>
    <t>Intermediat</t>
  </si>
  <si>
    <t>Production</t>
  </si>
  <si>
    <t>Triblex</t>
  </si>
  <si>
    <t>Pumps Number</t>
  </si>
  <si>
    <t>calculations</t>
  </si>
  <si>
    <t>NOZZLES</t>
  </si>
  <si>
    <t>Empty vol(bbl)</t>
  </si>
  <si>
    <t>Sediments heigth+Empty vol(in)</t>
  </si>
  <si>
    <t>Cross section(ft^3)</t>
  </si>
  <si>
    <t>Overal Tank Volume(bbl)</t>
  </si>
  <si>
    <t>Mud volume in each hole interval</t>
  </si>
  <si>
    <t>350--450</t>
  </si>
  <si>
    <t>5--6</t>
  </si>
  <si>
    <t>C-75 29</t>
  </si>
  <si>
    <t>c-75 26</t>
  </si>
  <si>
    <t>K-55 23</t>
  </si>
  <si>
    <t>c-75 29</t>
  </si>
  <si>
    <t>c75 15</t>
  </si>
  <si>
    <t>j55 15</t>
  </si>
  <si>
    <t>j55 11.5</t>
  </si>
  <si>
    <t>Target Reservoir</t>
  </si>
  <si>
    <t>c-75 15</t>
  </si>
  <si>
    <t>STC</t>
  </si>
  <si>
    <t>LBF</t>
  </si>
  <si>
    <r>
      <t xml:space="preserve">Surface </t>
    </r>
    <r>
      <rPr>
        <sz val="8"/>
        <color theme="1"/>
        <rFont val="Calibri"/>
        <family val="2"/>
        <scheme val="minor"/>
      </rPr>
      <t>20</t>
    </r>
    <r>
      <rPr>
        <b/>
        <sz val="9"/>
        <color theme="1"/>
        <rFont val="Calibri"/>
        <family val="2"/>
        <scheme val="minor"/>
      </rPr>
      <t>"</t>
    </r>
  </si>
  <si>
    <r>
      <rPr>
        <b/>
        <sz val="9"/>
        <color theme="1"/>
        <rFont val="Calibri"/>
        <family val="2"/>
        <scheme val="minor"/>
      </rPr>
      <t>Intermedia</t>
    </r>
    <r>
      <rPr>
        <sz val="9"/>
        <color theme="1"/>
        <rFont val="Calibri"/>
        <family val="2"/>
        <scheme val="minor"/>
      </rPr>
      <t xml:space="preserve">t 13 </t>
    </r>
    <r>
      <rPr>
        <sz val="8"/>
        <color theme="1"/>
        <rFont val="Calibri"/>
        <family val="2"/>
        <scheme val="minor"/>
      </rPr>
      <t>3/8</t>
    </r>
    <r>
      <rPr>
        <sz val="9"/>
        <color theme="1"/>
        <rFont val="Calibri"/>
        <family val="2"/>
        <scheme val="minor"/>
      </rPr>
      <t>"</t>
    </r>
  </si>
  <si>
    <r>
      <rPr>
        <b/>
        <sz val="8"/>
        <color theme="1"/>
        <rFont val="Calibri"/>
        <family val="2"/>
        <scheme val="minor"/>
      </rPr>
      <t>Intermedia</t>
    </r>
    <r>
      <rPr>
        <sz val="8"/>
        <color theme="1"/>
        <rFont val="Calibri"/>
        <family val="2"/>
        <scheme val="minor"/>
      </rPr>
      <t>t 13 3/8"</t>
    </r>
  </si>
  <si>
    <r>
      <rPr>
        <b/>
        <sz val="8"/>
        <color theme="1"/>
        <rFont val="Calibri"/>
        <family val="2"/>
        <scheme val="minor"/>
      </rPr>
      <t>Intermedia</t>
    </r>
    <r>
      <rPr>
        <sz val="8"/>
        <color theme="1"/>
        <rFont val="Calibri"/>
        <family val="2"/>
        <scheme val="minor"/>
      </rPr>
      <t>t 11 3/4"</t>
    </r>
  </si>
  <si>
    <r>
      <rPr>
        <b/>
        <sz val="8"/>
        <color theme="1"/>
        <rFont val="Calibri"/>
        <family val="2"/>
        <scheme val="minor"/>
      </rPr>
      <t>Intermedia</t>
    </r>
    <r>
      <rPr>
        <sz val="8"/>
        <color theme="1"/>
        <rFont val="Calibri"/>
        <family val="2"/>
        <scheme val="minor"/>
      </rPr>
      <t>t 9 5/8"</t>
    </r>
  </si>
  <si>
    <r>
      <rPr>
        <b/>
        <sz val="8"/>
        <color theme="1"/>
        <rFont val="Calibri"/>
        <family val="2"/>
        <scheme val="minor"/>
      </rPr>
      <t>Production</t>
    </r>
    <r>
      <rPr>
        <sz val="8"/>
        <color theme="1"/>
        <rFont val="Calibri"/>
        <family val="2"/>
        <scheme val="minor"/>
      </rPr>
      <t xml:space="preserve"> casing 7"</t>
    </r>
  </si>
  <si>
    <t>LTC</t>
  </si>
  <si>
    <r>
      <rPr>
        <b/>
        <sz val="8"/>
        <color theme="1"/>
        <rFont val="Calibri"/>
        <family val="2"/>
        <scheme val="minor"/>
      </rPr>
      <t>Production</t>
    </r>
    <r>
      <rPr>
        <sz val="8"/>
        <color theme="1"/>
        <rFont val="Calibri"/>
        <family val="2"/>
        <scheme val="minor"/>
      </rPr>
      <t xml:space="preserve"> Liner 5"</t>
    </r>
  </si>
  <si>
    <t>CASING DESIGN DATA</t>
  </si>
  <si>
    <t>Vpipe(bbl/ft)</t>
  </si>
  <si>
    <t>PART1</t>
  </si>
  <si>
    <t>PART2</t>
  </si>
  <si>
    <t>PART3</t>
  </si>
  <si>
    <t>PART4</t>
  </si>
  <si>
    <t>PART5</t>
  </si>
  <si>
    <t>PART6</t>
  </si>
  <si>
    <t>DC=</t>
  </si>
  <si>
    <t>HWDP=</t>
  </si>
  <si>
    <t>PART1   20"</t>
  </si>
  <si>
    <t>PART2   13 3/8"</t>
  </si>
  <si>
    <t>PART3   11 3/4</t>
  </si>
  <si>
    <t>PART4   9 5/8"</t>
  </si>
  <si>
    <t>PART5   7"</t>
  </si>
  <si>
    <t>PART6   5"</t>
  </si>
  <si>
    <t>Casing OD(inch)</t>
  </si>
  <si>
    <t>V Well (bbl)</t>
  </si>
  <si>
    <t>ID(casing)</t>
  </si>
  <si>
    <t>open hole(ft)</t>
  </si>
  <si>
    <t>V empty hole(bbl)</t>
  </si>
  <si>
    <t>displacement of DC(bbl)</t>
  </si>
  <si>
    <t xml:space="preserve">displacement of HWDP(bbl) </t>
  </si>
  <si>
    <t xml:space="preserve">displacement of DP(bbl) </t>
  </si>
  <si>
    <t>C dc</t>
  </si>
  <si>
    <t>C hwdp</t>
  </si>
  <si>
    <t>C dp</t>
  </si>
  <si>
    <t>V hole(bbl)</t>
  </si>
  <si>
    <t>Tank mud volume(bbl)</t>
  </si>
  <si>
    <t>Mud volume in surface SYS(bbl)</t>
  </si>
  <si>
    <t>Total Active Volume(bbl)</t>
  </si>
  <si>
    <t>Hole Cycle Time(min)</t>
  </si>
  <si>
    <t>Bottom Up Time(min)</t>
  </si>
  <si>
    <t>Bottom Up Strokes</t>
  </si>
  <si>
    <t>Up Bottom Time(min)</t>
  </si>
  <si>
    <t>Total Circulation Time(min)</t>
  </si>
  <si>
    <t>LINER</t>
  </si>
  <si>
    <t>Annuluse volume(bbl)</t>
  </si>
  <si>
    <t>SI UNIT</t>
  </si>
  <si>
    <t>FIELD UNIT</t>
  </si>
  <si>
    <t>V previous step(bbl)</t>
  </si>
  <si>
    <t>V2(bbl)</t>
  </si>
  <si>
    <t>V Barite(bbl)</t>
  </si>
  <si>
    <t>V1(bbl)</t>
  </si>
  <si>
    <t>ρ1(ppg)</t>
  </si>
  <si>
    <t>ρB(ppg)</t>
  </si>
  <si>
    <t>ρ2(ppg)</t>
  </si>
  <si>
    <t>Initial Mud design</t>
  </si>
  <si>
    <t>V dump(bbl)</t>
  </si>
  <si>
    <t>PV</t>
  </si>
  <si>
    <t>lbm/bbl(mud)</t>
  </si>
  <si>
    <t>ρ H2O(ppg)</t>
  </si>
  <si>
    <t>ρ bentonite(ppg)</t>
  </si>
  <si>
    <t>ρ Barite(ppg)</t>
  </si>
  <si>
    <t>ρ Total(ppg)</t>
  </si>
  <si>
    <t>V bentonite(bbl)</t>
  </si>
  <si>
    <t>V H2O(bbl)</t>
  </si>
  <si>
    <t>V barite(bbl)</t>
  </si>
  <si>
    <t>V initial mud(bbl)</t>
  </si>
  <si>
    <t>ρ H20 (ppg)</t>
  </si>
  <si>
    <t>MUD DESIGN</t>
  </si>
  <si>
    <r>
      <t>MUD Add</t>
    </r>
    <r>
      <rPr>
        <sz val="20"/>
        <color rgb="FFFFFF00"/>
        <rFont val="Calibri"/>
        <family val="2"/>
      </rPr>
      <t>±</t>
    </r>
  </si>
  <si>
    <t>Open hole(in)</t>
  </si>
  <si>
    <t>CONDUCTOR</t>
  </si>
  <si>
    <t>Casing ID(inch)</t>
  </si>
  <si>
    <t>ID</t>
  </si>
  <si>
    <t>High Pressure Depth(ft)</t>
  </si>
  <si>
    <t>Pore Pressure(psi)</t>
  </si>
  <si>
    <t>Slurry Weigth(FORWAERD)(ppg)</t>
  </si>
  <si>
    <t>---------</t>
  </si>
  <si>
    <t>--------</t>
  </si>
  <si>
    <t>IP</t>
  </si>
  <si>
    <t>PI(psi0</t>
  </si>
  <si>
    <t>Casing Weigth(lbf/ft)</t>
  </si>
  <si>
    <t>Annuluse volume in casing</t>
  </si>
  <si>
    <t>AVIC</t>
  </si>
  <si>
    <t>Annuluse volume in open hole</t>
  </si>
  <si>
    <t>AVIOH</t>
  </si>
  <si>
    <t>Cement volume inside casing</t>
  </si>
  <si>
    <t>CVIC</t>
  </si>
  <si>
    <t>Displacement volume</t>
  </si>
  <si>
    <t>DV</t>
  </si>
  <si>
    <t>PART1(surface)</t>
  </si>
  <si>
    <t>PART2(intermediat)</t>
  </si>
  <si>
    <t>PART3(intermediat)</t>
  </si>
  <si>
    <t>PART4(intermediat)</t>
  </si>
  <si>
    <t>PART5(production)</t>
  </si>
  <si>
    <t>PART6(production)</t>
  </si>
  <si>
    <t>CVIC(bbl)</t>
  </si>
  <si>
    <t>DV(bbl)</t>
  </si>
  <si>
    <t>AVIOH(bbl)</t>
  </si>
  <si>
    <t>AVIC(bbl)</t>
  </si>
  <si>
    <t>-------</t>
  </si>
  <si>
    <t>Q pump(bbl/min)</t>
  </si>
  <si>
    <t>Time Left(min)</t>
  </si>
  <si>
    <t>Pump pressure to land the plug</t>
  </si>
  <si>
    <t>PPTL</t>
  </si>
  <si>
    <t>PPTL(inside casing)</t>
  </si>
  <si>
    <t>PPTL(outside casing)</t>
  </si>
  <si>
    <t>Plug depth(ft)</t>
  </si>
  <si>
    <t>PLP(psi)</t>
  </si>
  <si>
    <t>Pump landing pressure</t>
  </si>
  <si>
    <t>PLP</t>
  </si>
  <si>
    <t>Hydrostatic pressure of well fluid</t>
  </si>
  <si>
    <t>Ph</t>
  </si>
  <si>
    <t>Ph(psi)</t>
  </si>
  <si>
    <t>Casing Weigth(lbf)</t>
  </si>
  <si>
    <t>Weigth of fluid inside casing</t>
  </si>
  <si>
    <t>WOFIC</t>
  </si>
  <si>
    <t>WOFIC(lbf)</t>
  </si>
  <si>
    <t>PPAOC</t>
  </si>
  <si>
    <t>ΔF(lbf) STATIC</t>
  </si>
  <si>
    <t>ΔF(lbf) DYNAMIC</t>
  </si>
  <si>
    <t>Pump pressure acting on casing</t>
  </si>
  <si>
    <t>CEMENTING DESIGN</t>
  </si>
  <si>
    <t>(PRODUCTION)</t>
  </si>
  <si>
    <t>(INTERMEDIAT)</t>
  </si>
  <si>
    <t>(SURFACE)</t>
  </si>
  <si>
    <t>17 1/2"</t>
  </si>
  <si>
    <t>12 1/4"-14 3/4"</t>
  </si>
  <si>
    <t>10 5/8"-12 1/4"</t>
  </si>
  <si>
    <t>8 1/2"</t>
  </si>
  <si>
    <t>5 7/8"</t>
  </si>
  <si>
    <t>C75-29</t>
  </si>
  <si>
    <t>C75-26</t>
  </si>
  <si>
    <r>
      <t>Production Casing 7</t>
    </r>
    <r>
      <rPr>
        <b/>
        <sz val="8"/>
        <color theme="0"/>
        <rFont val="Calibri"/>
        <family val="2"/>
        <scheme val="minor"/>
      </rPr>
      <t>" production casing</t>
    </r>
  </si>
  <si>
    <r>
      <t>Production Liner 5</t>
    </r>
    <r>
      <rPr>
        <b/>
        <sz val="8"/>
        <color theme="0"/>
        <rFont val="Calibri"/>
        <family val="2"/>
        <scheme val="minor"/>
      </rPr>
      <t>" production Liner</t>
    </r>
  </si>
  <si>
    <t>fractured formation depth (ft)</t>
  </si>
  <si>
    <t>ph</t>
  </si>
  <si>
    <t>&lt;</t>
  </si>
  <si>
    <t>pore pressure</t>
  </si>
  <si>
    <t>0k</t>
  </si>
  <si>
    <t>weight(lb)</t>
  </si>
  <si>
    <t>cement type</t>
  </si>
  <si>
    <t>G</t>
  </si>
  <si>
    <t>H</t>
  </si>
  <si>
    <t>HEMATIT</t>
  </si>
  <si>
    <t>BARITE</t>
  </si>
  <si>
    <t>CEMENT</t>
  </si>
  <si>
    <t>GELSONITE</t>
  </si>
  <si>
    <t>WATER</t>
  </si>
  <si>
    <t>DISPERSANT</t>
  </si>
  <si>
    <t>ABSOLUTE VOLUME(GAL/LB)</t>
  </si>
  <si>
    <t>casing</t>
  </si>
  <si>
    <t>Dispersant(gal/sack)</t>
  </si>
  <si>
    <t>Water %</t>
  </si>
  <si>
    <t>Salt BWOW %</t>
  </si>
  <si>
    <t>volume(gal)</t>
  </si>
  <si>
    <t>Yield(gal/sack)</t>
  </si>
  <si>
    <t>weight of cement(ppg)</t>
  </si>
  <si>
    <t>Slurry weight(lb/gal)</t>
  </si>
  <si>
    <t>SALT ABSOLUTE VOLUME(GAL/LB)</t>
  </si>
  <si>
    <t>SALT</t>
  </si>
  <si>
    <t>Intermediat Casing hydraulic design(17 1/2"-13 3/8")</t>
  </si>
  <si>
    <t>Intermediat Casing hydraulic design(12 1/4",14 3/4"-11 3/4")</t>
  </si>
  <si>
    <t>Intermediat Casing hydraulic design(10 5/8",12 1/4"-9 5/8")</t>
  </si>
  <si>
    <t>Intermediat Casing hydraulic design(8 1/2"-7")</t>
  </si>
  <si>
    <t>Intermediat Casing hydraulic design(5 7/8"-5")</t>
  </si>
  <si>
    <t>size,in.</t>
  </si>
  <si>
    <t>No. of jets</t>
  </si>
  <si>
    <t>Nuzzel Details</t>
  </si>
  <si>
    <t>Surface Casing Hydraulic Design</t>
  </si>
  <si>
    <t>Nozzel Combination area and sizes 1/32 in</t>
  </si>
  <si>
    <t>Strock length</t>
  </si>
  <si>
    <t>MAX.spm</t>
  </si>
  <si>
    <t>MAX.ihp</t>
  </si>
  <si>
    <t>Model</t>
  </si>
  <si>
    <t>Manufacturer: NATIONAL SUPPLY - Triblex</t>
  </si>
  <si>
    <t>10-P-130</t>
  </si>
  <si>
    <t>9-P-100</t>
  </si>
  <si>
    <t>8-P-80</t>
  </si>
  <si>
    <t>LINER SIZE</t>
  </si>
  <si>
    <t>*</t>
  </si>
  <si>
    <t>*******************</t>
  </si>
  <si>
    <t>********************************************************</t>
  </si>
  <si>
    <t xml:space="preserve">This Program is design to improve the Hydraulic Design factors with </t>
  </si>
  <si>
    <t xml:space="preserve">consideration to Metaheurestic Algorithms such as particle swarm </t>
  </si>
  <si>
    <t>optimization and Genetic Algorithm…</t>
  </si>
  <si>
    <t>Qopp bbl/min</t>
  </si>
  <si>
    <t xml:space="preserve"> </t>
  </si>
  <si>
    <t>Intermediat Casing(5 7/8"-5")</t>
  </si>
  <si>
    <t>Surface Casing(26"-20")</t>
  </si>
  <si>
    <t>Intermediat Casing(17 1/2"-13 3/8")</t>
  </si>
  <si>
    <t>Intermediat Casing(12 1/4",14 3/4"-11 3/4")</t>
  </si>
  <si>
    <t>Intermediat Casing(10 5/8",12 1/4"-9 5/8")</t>
  </si>
  <si>
    <t>Intermediat Casing(8 1/2"-7")</t>
  </si>
  <si>
    <t>Google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</si>
</sst>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000"/>
    <numFmt numFmtId="165" formatCode="0.000"/>
    <numFmt numFmtId="166" formatCode="0.0"/>
    <numFmt numFmtId="167" formatCode="#\ ???/???"/>
    <numFmt numFmtId="168" formatCode="#\ ?/32"/>
    <numFmt numFmtId="169" formatCode="0.0000"/>
  </numFmts>
  <fonts count="31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b/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sz val="9"/>
      <color indexed="81"/>
      <name val="Tahoma"/>
      <charset val="1"/>
    </font>
    <font>
      <b/>
      <sz val="8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sz val="8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0"/>
      <name val="Calibri"/>
      <family val="2"/>
    </font>
    <font>
      <sz val="8"/>
      <color rgb="FFFF0000"/>
      <name val="Calibri"/>
      <family val="2"/>
      <scheme val="minor"/>
    </font>
    <font>
      <sz val="24"/>
      <color rgb="FFFFFF00"/>
      <name val="Calibri"/>
      <family val="2"/>
      <scheme val="minor"/>
    </font>
    <font>
      <sz val="20"/>
      <color rgb="FFFFFF00"/>
      <name val="Calibri"/>
      <family val="2"/>
      <scheme val="minor"/>
    </font>
    <font>
      <sz val="20"/>
      <color rgb="FFFFFF00"/>
      <name val="Calibri"/>
      <family val="2"/>
    </font>
    <font>
      <sz val="9"/>
      <color rgb="FFFFFF0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u/>
      <sz val="11"/>
      <color theme="10"/>
      <name val="Calibri"/>
      <family val="2"/>
    </font>
    <font>
      <sz val="7"/>
      <color theme="1"/>
      <name val="Calibri"/>
      <family val="2"/>
      <scheme val="minor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</cellStyleXfs>
  <cellXfs count="467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2" fontId="1" fillId="5" borderId="1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2" fontId="3" fillId="0" borderId="1" xfId="0" applyNumberFormat="1" applyFont="1" applyBorder="1" applyAlignment="1">
      <alignment horizontal="center" vertical="center"/>
    </xf>
    <xf numFmtId="12" fontId="3" fillId="7" borderId="1" xfId="0" applyNumberFormat="1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0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10" fontId="1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1" fillId="0" borderId="2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10" fontId="3" fillId="0" borderId="1" xfId="0" applyNumberFormat="1" applyFont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0" fontId="1" fillId="0" borderId="0" xfId="0" applyNumberFormat="1" applyFont="1" applyBorder="1" applyAlignment="1">
      <alignment horizontal="center" vertical="center"/>
    </xf>
    <xf numFmtId="9" fontId="1" fillId="0" borderId="0" xfId="0" applyNumberFormat="1" applyFont="1" applyBorder="1" applyAlignment="1">
      <alignment horizontal="center" vertical="center"/>
    </xf>
    <xf numFmtId="0" fontId="3" fillId="8" borderId="4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0" fontId="1" fillId="0" borderId="0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/>
    </xf>
    <xf numFmtId="4" fontId="1" fillId="0" borderId="1" xfId="0" applyNumberFormat="1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4" fontId="1" fillId="0" borderId="1" xfId="0" applyNumberFormat="1" applyFont="1" applyFill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4" fontId="1" fillId="0" borderId="4" xfId="0" applyNumberFormat="1" applyFont="1" applyFill="1" applyBorder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/>
    </xf>
    <xf numFmtId="4" fontId="1" fillId="0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4" fontId="9" fillId="0" borderId="1" xfId="0" applyNumberFormat="1" applyFont="1" applyFill="1" applyBorder="1" applyAlignment="1">
      <alignment horizontal="center"/>
    </xf>
    <xf numFmtId="4" fontId="3" fillId="0" borderId="1" xfId="0" applyNumberFormat="1" applyFont="1" applyFill="1" applyBorder="1" applyAlignment="1">
      <alignment horizontal="center"/>
    </xf>
    <xf numFmtId="4" fontId="4" fillId="0" borderId="1" xfId="0" applyNumberFormat="1" applyFont="1" applyFill="1" applyBorder="1" applyAlignment="1">
      <alignment horizontal="center"/>
    </xf>
    <xf numFmtId="4" fontId="1" fillId="0" borderId="1" xfId="0" applyNumberFormat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center"/>
    </xf>
    <xf numFmtId="4" fontId="10" fillId="0" borderId="1" xfId="0" applyNumberFormat="1" applyFont="1" applyFill="1" applyBorder="1" applyAlignment="1">
      <alignment horizontal="center"/>
    </xf>
    <xf numFmtId="4" fontId="1" fillId="0" borderId="1" xfId="0" applyNumberFormat="1" applyFont="1" applyFill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/>
    </xf>
    <xf numFmtId="4" fontId="1" fillId="0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0" fontId="3" fillId="8" borderId="15" xfId="0" applyFont="1" applyFill="1" applyBorder="1" applyAlignment="1">
      <alignment horizontal="center" vertical="center"/>
    </xf>
    <xf numFmtId="4" fontId="1" fillId="0" borderId="4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4" fontId="1" fillId="0" borderId="0" xfId="0" applyNumberFormat="1" applyFont="1" applyFill="1" applyBorder="1" applyAlignment="1">
      <alignment horizontal="center" vertical="center"/>
    </xf>
    <xf numFmtId="4" fontId="3" fillId="0" borderId="0" xfId="0" applyNumberFormat="1" applyFont="1" applyFill="1" applyBorder="1" applyAlignment="1">
      <alignment horizontal="center"/>
    </xf>
    <xf numFmtId="4" fontId="4" fillId="0" borderId="0" xfId="0" applyNumberFormat="1" applyFont="1" applyFill="1" applyBorder="1" applyAlignment="1">
      <alignment horizontal="center"/>
    </xf>
    <xf numFmtId="4" fontId="10" fillId="0" borderId="0" xfId="0" applyNumberFormat="1" applyFont="1" applyFill="1" applyBorder="1" applyAlignment="1">
      <alignment horizontal="center"/>
    </xf>
    <xf numFmtId="4" fontId="1" fillId="0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4" fontId="1" fillId="0" borderId="4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1" xfId="0" applyNumberFormat="1" applyFont="1" applyFill="1" applyBorder="1" applyAlignment="1">
      <alignment horizontal="center" vertical="center"/>
    </xf>
    <xf numFmtId="0" fontId="1" fillId="12" borderId="1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" fontId="1" fillId="0" borderId="4" xfId="0" applyNumberFormat="1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4" fontId="1" fillId="0" borderId="1" xfId="0" applyNumberFormat="1" applyFont="1" applyFill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/>
    </xf>
    <xf numFmtId="4" fontId="1" fillId="0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5" fillId="0" borderId="19" xfId="0" applyFont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4" fontId="1" fillId="0" borderId="14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4" fontId="17" fillId="0" borderId="1" xfId="0" applyNumberFormat="1" applyFont="1" applyBorder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4" fontId="17" fillId="0" borderId="12" xfId="0" applyNumberFormat="1" applyFont="1" applyBorder="1" applyAlignment="1">
      <alignment horizontal="center" vertical="center"/>
    </xf>
    <xf numFmtId="2" fontId="17" fillId="0" borderId="12" xfId="0" applyNumberFormat="1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4" fontId="17" fillId="0" borderId="0" xfId="0" applyNumberFormat="1" applyFont="1" applyBorder="1" applyAlignment="1">
      <alignment horizontal="center" vertical="center"/>
    </xf>
    <xf numFmtId="2" fontId="17" fillId="0" borderId="0" xfId="0" applyNumberFormat="1" applyFont="1" applyBorder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6" fillId="5" borderId="33" xfId="0" applyFont="1" applyFill="1" applyBorder="1" applyAlignment="1">
      <alignment horizontal="center" vertical="center"/>
    </xf>
    <xf numFmtId="0" fontId="17" fillId="0" borderId="34" xfId="0" applyFont="1" applyBorder="1" applyAlignment="1">
      <alignment horizontal="center" vertical="center"/>
    </xf>
    <xf numFmtId="0" fontId="16" fillId="0" borderId="30" xfId="0" applyFont="1" applyBorder="1" applyAlignment="1">
      <alignment horizontal="center" vertical="center"/>
    </xf>
    <xf numFmtId="0" fontId="16" fillId="0" borderId="35" xfId="0" applyFont="1" applyBorder="1" applyAlignment="1">
      <alignment horizontal="center" vertical="center"/>
    </xf>
    <xf numFmtId="0" fontId="16" fillId="0" borderId="31" xfId="0" applyFont="1" applyBorder="1" applyAlignment="1">
      <alignment horizontal="center" vertical="center"/>
    </xf>
    <xf numFmtId="0" fontId="16" fillId="0" borderId="36" xfId="0" applyFont="1" applyBorder="1" applyAlignment="1">
      <alignment horizontal="center" vertical="center"/>
    </xf>
    <xf numFmtId="4" fontId="17" fillId="0" borderId="32" xfId="0" applyNumberFormat="1" applyFont="1" applyBorder="1" applyAlignment="1">
      <alignment horizontal="center" vertical="center"/>
    </xf>
    <xf numFmtId="0" fontId="17" fillId="0" borderId="25" xfId="0" applyFont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17" fillId="0" borderId="6" xfId="0" applyFont="1" applyFill="1" applyBorder="1" applyAlignment="1">
      <alignment horizontal="center" vertical="center"/>
    </xf>
    <xf numFmtId="0" fontId="17" fillId="0" borderId="11" xfId="0" applyFont="1" applyFill="1" applyBorder="1" applyAlignment="1">
      <alignment horizontal="center" vertical="center"/>
    </xf>
    <xf numFmtId="0" fontId="16" fillId="0" borderId="11" xfId="0" applyFont="1" applyFill="1" applyBorder="1" applyAlignment="1">
      <alignment horizontal="center" vertical="center"/>
    </xf>
    <xf numFmtId="2" fontId="1" fillId="0" borderId="0" xfId="0" applyNumberFormat="1" applyFont="1" applyBorder="1" applyAlignment="1">
      <alignment horizontal="center" vertical="center"/>
    </xf>
    <xf numFmtId="0" fontId="16" fillId="0" borderId="17" xfId="0" applyFont="1" applyFill="1" applyBorder="1" applyAlignment="1">
      <alignment horizontal="center" vertical="center"/>
    </xf>
    <xf numFmtId="0" fontId="17" fillId="0" borderId="9" xfId="0" applyFont="1" applyFill="1" applyBorder="1" applyAlignment="1">
      <alignment horizontal="center" vertical="center"/>
    </xf>
    <xf numFmtId="0" fontId="16" fillId="0" borderId="33" xfId="0" applyFont="1" applyFill="1" applyBorder="1" applyAlignment="1">
      <alignment horizontal="center" vertical="center"/>
    </xf>
    <xf numFmtId="0" fontId="16" fillId="0" borderId="12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9" fillId="0" borderId="0" xfId="0" applyNumberFormat="1" applyFont="1" applyFill="1" applyBorder="1" applyAlignment="1">
      <alignment horizontal="center"/>
    </xf>
    <xf numFmtId="4" fontId="1" fillId="0" borderId="0" xfId="0" applyNumberFormat="1" applyFont="1" applyFill="1" applyBorder="1" applyAlignment="1">
      <alignment horizontal="center"/>
    </xf>
    <xf numFmtId="164" fontId="1" fillId="0" borderId="0" xfId="0" applyNumberFormat="1" applyFont="1" applyFill="1" applyBorder="1" applyAlignment="1">
      <alignment horizontal="center"/>
    </xf>
    <xf numFmtId="4" fontId="1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/>
    <xf numFmtId="0" fontId="1" fillId="3" borderId="0" xfId="0" applyFont="1" applyFill="1" applyAlignment="1">
      <alignment horizontal="center" vertical="center"/>
    </xf>
    <xf numFmtId="0" fontId="16" fillId="0" borderId="0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4" fontId="16" fillId="0" borderId="0" xfId="0" applyNumberFormat="1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/>
    <xf numFmtId="0" fontId="3" fillId="0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8" fillId="3" borderId="26" xfId="0" applyFont="1" applyFill="1" applyBorder="1" applyAlignment="1">
      <alignment horizontal="center" vertical="center"/>
    </xf>
    <xf numFmtId="0" fontId="18" fillId="3" borderId="23" xfId="0" applyFont="1" applyFill="1" applyBorder="1" applyAlignment="1">
      <alignment horizontal="center" vertical="center"/>
    </xf>
    <xf numFmtId="0" fontId="18" fillId="3" borderId="20" xfId="0" applyFont="1" applyFill="1" applyBorder="1" applyAlignment="1">
      <alignment horizontal="center"/>
    </xf>
    <xf numFmtId="0" fontId="18" fillId="3" borderId="22" xfId="0" applyFont="1" applyFill="1" applyBorder="1" applyAlignment="1">
      <alignment horizontal="center"/>
    </xf>
    <xf numFmtId="0" fontId="18" fillId="3" borderId="26" xfId="0" applyFont="1" applyFill="1" applyBorder="1" applyAlignment="1">
      <alignment horizontal="center"/>
    </xf>
    <xf numFmtId="0" fontId="18" fillId="3" borderId="38" xfId="0" applyFont="1" applyFill="1" applyBorder="1" applyAlignment="1">
      <alignment horizontal="center"/>
    </xf>
    <xf numFmtId="0" fontId="18" fillId="3" borderId="37" xfId="0" applyFont="1" applyFill="1" applyBorder="1" applyAlignment="1">
      <alignment horizontal="center"/>
    </xf>
    <xf numFmtId="0" fontId="1" fillId="4" borderId="41" xfId="0" applyFont="1" applyFill="1" applyBorder="1" applyAlignment="1">
      <alignment horizontal="center"/>
    </xf>
    <xf numFmtId="0" fontId="1" fillId="5" borderId="27" xfId="0" applyFont="1" applyFill="1" applyBorder="1" applyAlignment="1">
      <alignment horizontal="center"/>
    </xf>
    <xf numFmtId="0" fontId="18" fillId="3" borderId="24" xfId="0" applyFont="1" applyFill="1" applyBorder="1" applyAlignment="1">
      <alignment horizontal="center"/>
    </xf>
    <xf numFmtId="0" fontId="18" fillId="3" borderId="40" xfId="0" applyFont="1" applyFill="1" applyBorder="1" applyAlignment="1">
      <alignment horizontal="center"/>
    </xf>
    <xf numFmtId="0" fontId="1" fillId="0" borderId="0" xfId="0" applyFont="1" applyFill="1" applyBorder="1"/>
    <xf numFmtId="0" fontId="9" fillId="0" borderId="0" xfId="0" applyFont="1" applyFill="1" applyBorder="1" applyAlignment="1">
      <alignment horizontal="center" vertical="center"/>
    </xf>
    <xf numFmtId="0" fontId="10" fillId="0" borderId="0" xfId="0" applyFont="1" applyBorder="1"/>
    <xf numFmtId="0" fontId="18" fillId="3" borderId="1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17" fillId="0" borderId="3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/>
    </xf>
    <xf numFmtId="2" fontId="10" fillId="0" borderId="0" xfId="0" applyNumberFormat="1" applyFont="1" applyFill="1" applyBorder="1" applyAlignment="1">
      <alignment horizontal="center"/>
    </xf>
    <xf numFmtId="0" fontId="1" fillId="0" borderId="0" xfId="0" applyFont="1" applyBorder="1"/>
    <xf numFmtId="0" fontId="9" fillId="0" borderId="0" xfId="0" applyFont="1" applyBorder="1" applyAlignment="1">
      <alignment horizontal="center" vertical="center"/>
    </xf>
    <xf numFmtId="2" fontId="10" fillId="0" borderId="0" xfId="0" applyNumberFormat="1" applyFont="1" applyBorder="1"/>
    <xf numFmtId="0" fontId="16" fillId="3" borderId="4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/>
    </xf>
    <xf numFmtId="0" fontId="10" fillId="0" borderId="0" xfId="0" applyFont="1"/>
    <xf numFmtId="2" fontId="10" fillId="0" borderId="0" xfId="0" applyNumberFormat="1" applyFont="1"/>
    <xf numFmtId="0" fontId="3" fillId="0" borderId="0" xfId="0" applyFont="1" applyAlignment="1">
      <alignment horizontal="center"/>
    </xf>
    <xf numFmtId="2" fontId="18" fillId="3" borderId="1" xfId="0" applyNumberFormat="1" applyFont="1" applyFill="1" applyBorder="1" applyAlignment="1">
      <alignment horizontal="center" vertical="center"/>
    </xf>
    <xf numFmtId="2" fontId="1" fillId="0" borderId="0" xfId="0" applyNumberFormat="1" applyFont="1"/>
    <xf numFmtId="0" fontId="9" fillId="2" borderId="1" xfId="0" applyNumberFormat="1" applyFont="1" applyFill="1" applyBorder="1" applyAlignment="1">
      <alignment horizontal="center" vertical="center"/>
    </xf>
    <xf numFmtId="2" fontId="16" fillId="2" borderId="1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2" fontId="9" fillId="4" borderId="1" xfId="0" applyNumberFormat="1" applyFont="1" applyFill="1" applyBorder="1" applyAlignment="1">
      <alignment horizontal="center" vertical="center"/>
    </xf>
    <xf numFmtId="0" fontId="9" fillId="0" borderId="1" xfId="0" applyNumberFormat="1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2" fontId="16" fillId="0" borderId="1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/>
    </xf>
    <xf numFmtId="2" fontId="1" fillId="2" borderId="0" xfId="0" applyNumberFormat="1" applyFont="1" applyFill="1" applyAlignment="1">
      <alignment horizontal="center"/>
    </xf>
    <xf numFmtId="2" fontId="10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2" fontId="1" fillId="0" borderId="1" xfId="0" applyNumberFormat="1" applyFont="1" applyFill="1" applyBorder="1" applyAlignment="1">
      <alignment horizontal="center"/>
    </xf>
    <xf numFmtId="2" fontId="18" fillId="3" borderId="2" xfId="0" applyNumberFormat="1" applyFont="1" applyFill="1" applyBorder="1" applyAlignment="1">
      <alignment horizontal="center" vertical="center"/>
    </xf>
    <xf numFmtId="0" fontId="9" fillId="2" borderId="2" xfId="0" applyNumberFormat="1" applyFont="1" applyFill="1" applyBorder="1" applyAlignment="1">
      <alignment horizontal="center" vertical="center"/>
    </xf>
    <xf numFmtId="2" fontId="1" fillId="2" borderId="2" xfId="0" applyNumberFormat="1" applyFont="1" applyFill="1" applyBorder="1" applyAlignment="1">
      <alignment horizontal="center" vertical="center"/>
    </xf>
    <xf numFmtId="2" fontId="9" fillId="0" borderId="3" xfId="0" applyNumberFormat="1" applyFont="1" applyFill="1" applyBorder="1" applyAlignment="1">
      <alignment horizontal="center" vertical="center"/>
    </xf>
    <xf numFmtId="0" fontId="9" fillId="0" borderId="3" xfId="0" applyNumberFormat="1" applyFont="1" applyFill="1" applyBorder="1" applyAlignment="1">
      <alignment horizontal="center" vertical="center"/>
    </xf>
    <xf numFmtId="2" fontId="1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/>
    <xf numFmtId="0" fontId="2" fillId="0" borderId="0" xfId="0" applyFont="1"/>
    <xf numFmtId="0" fontId="1" fillId="5" borderId="1" xfId="0" applyFont="1" applyFill="1" applyBorder="1" applyAlignment="1">
      <alignment horizontal="center"/>
    </xf>
    <xf numFmtId="0" fontId="18" fillId="3" borderId="23" xfId="0" applyFont="1" applyFill="1" applyBorder="1" applyAlignment="1">
      <alignment horizontal="center"/>
    </xf>
    <xf numFmtId="0" fontId="1" fillId="5" borderId="1" xfId="0" quotePrefix="1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4" fontId="1" fillId="5" borderId="1" xfId="0" applyNumberFormat="1" applyFont="1" applyFill="1" applyBorder="1" applyAlignment="1">
      <alignment horizontal="center"/>
    </xf>
    <xf numFmtId="0" fontId="18" fillId="3" borderId="0" xfId="0" applyFont="1" applyFill="1" applyBorder="1" applyAlignment="1">
      <alignment horizontal="center"/>
    </xf>
    <xf numFmtId="0" fontId="1" fillId="5" borderId="42" xfId="0" applyFont="1" applyFill="1" applyBorder="1" applyAlignment="1">
      <alignment horizontal="center"/>
    </xf>
    <xf numFmtId="0" fontId="1" fillId="5" borderId="17" xfId="0" applyFont="1" applyFill="1" applyBorder="1" applyAlignment="1">
      <alignment horizontal="center"/>
    </xf>
    <xf numFmtId="0" fontId="18" fillId="3" borderId="39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4" fontId="1" fillId="0" borderId="0" xfId="0" applyNumberFormat="1" applyFont="1" applyAlignment="1">
      <alignment horizontal="center"/>
    </xf>
    <xf numFmtId="0" fontId="1" fillId="13" borderId="0" xfId="0" applyFont="1" applyFill="1" applyAlignment="1">
      <alignment horizontal="center"/>
    </xf>
    <xf numFmtId="4" fontId="1" fillId="0" borderId="0" xfId="0" applyNumberFormat="1" applyFont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2" fillId="3" borderId="22" xfId="0" applyFont="1" applyFill="1" applyBorder="1" applyAlignment="1">
      <alignment horizontal="center"/>
    </xf>
    <xf numFmtId="0" fontId="1" fillId="0" borderId="0" xfId="0" applyFont="1" applyFill="1" applyAlignment="1">
      <alignment horizontal="center"/>
    </xf>
    <xf numFmtId="0" fontId="2" fillId="3" borderId="0" xfId="0" applyFont="1" applyFill="1" applyBorder="1" applyAlignment="1">
      <alignment horizontal="center"/>
    </xf>
    <xf numFmtId="3" fontId="1" fillId="0" borderId="0" xfId="0" applyNumberFormat="1" applyFont="1" applyAlignment="1">
      <alignment horizontal="center"/>
    </xf>
    <xf numFmtId="0" fontId="18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left"/>
    </xf>
    <xf numFmtId="0" fontId="18" fillId="3" borderId="1" xfId="0" applyFont="1" applyFill="1" applyBorder="1" applyAlignment="1">
      <alignment horizontal="left"/>
    </xf>
    <xf numFmtId="0" fontId="19" fillId="3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" fillId="5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4" borderId="15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7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/>
    </xf>
    <xf numFmtId="12" fontId="3" fillId="5" borderId="1" xfId="0" applyNumberFormat="1" applyFont="1" applyFill="1" applyBorder="1" applyAlignment="1">
      <alignment horizontal="center"/>
    </xf>
    <xf numFmtId="12" fontId="3" fillId="4" borderId="1" xfId="0" applyNumberFormat="1" applyFont="1" applyFill="1" applyBorder="1" applyAlignment="1">
      <alignment horizontal="center"/>
    </xf>
    <xf numFmtId="4" fontId="1" fillId="4" borderId="1" xfId="0" applyNumberFormat="1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1" fillId="0" borderId="0" xfId="0" applyFont="1" applyAlignment="1"/>
    <xf numFmtId="4" fontId="1" fillId="0" borderId="1" xfId="0" applyNumberFormat="1" applyFont="1" applyFill="1" applyBorder="1" applyAlignment="1">
      <alignment horizontal="center" vertical="center"/>
    </xf>
    <xf numFmtId="4" fontId="1" fillId="0" borderId="4" xfId="0" applyNumberFormat="1" applyFont="1" applyFill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/>
    </xf>
    <xf numFmtId="4" fontId="3" fillId="0" borderId="4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2" fontId="3" fillId="4" borderId="1" xfId="0" applyNumberFormat="1" applyFont="1" applyFill="1" applyBorder="1" applyAlignment="1">
      <alignment horizontal="center" vertical="center"/>
    </xf>
    <xf numFmtId="12" fontId="3" fillId="5" borderId="1" xfId="0" applyNumberFormat="1" applyFont="1" applyFill="1" applyBorder="1" applyAlignment="1">
      <alignment horizontal="center" vertical="center"/>
    </xf>
    <xf numFmtId="0" fontId="18" fillId="3" borderId="0" xfId="0" applyFont="1" applyFill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24" fillId="0" borderId="0" xfId="0" applyFont="1" applyFill="1"/>
    <xf numFmtId="0" fontId="1" fillId="0" borderId="0" xfId="0" applyFont="1" applyFill="1"/>
    <xf numFmtId="165" fontId="3" fillId="5" borderId="1" xfId="0" applyNumberFormat="1" applyFont="1" applyFill="1" applyBorder="1" applyAlignment="1">
      <alignment horizontal="center"/>
    </xf>
    <xf numFmtId="165" fontId="3" fillId="4" borderId="1" xfId="0" applyNumberFormat="1" applyFont="1" applyFill="1" applyBorder="1" applyAlignment="1">
      <alignment horizontal="center"/>
    </xf>
    <xf numFmtId="4" fontId="1" fillId="0" borderId="1" xfId="0" applyNumberFormat="1" applyFont="1" applyBorder="1" applyAlignment="1">
      <alignment horizontal="center"/>
    </xf>
    <xf numFmtId="0" fontId="1" fillId="4" borderId="1" xfId="0" quotePrefix="1" applyFont="1" applyFill="1" applyBorder="1" applyAlignment="1">
      <alignment horizontal="center"/>
    </xf>
    <xf numFmtId="0" fontId="3" fillId="4" borderId="1" xfId="0" quotePrefix="1" applyFont="1" applyFill="1" applyBorder="1" applyAlignment="1">
      <alignment horizontal="center"/>
    </xf>
    <xf numFmtId="12" fontId="18" fillId="15" borderId="1" xfId="0" applyNumberFormat="1" applyFont="1" applyFill="1" applyBorder="1" applyAlignment="1">
      <alignment horizontal="center" vertical="center"/>
    </xf>
    <xf numFmtId="12" fontId="18" fillId="15" borderId="1" xfId="0" applyNumberFormat="1" applyFont="1" applyFill="1" applyBorder="1" applyAlignment="1">
      <alignment horizontal="center"/>
    </xf>
    <xf numFmtId="165" fontId="18" fillId="15" borderId="1" xfId="0" applyNumberFormat="1" applyFont="1" applyFill="1" applyBorder="1" applyAlignment="1">
      <alignment horizontal="center"/>
    </xf>
    <xf numFmtId="4" fontId="2" fillId="15" borderId="1" xfId="0" applyNumberFormat="1" applyFont="1" applyFill="1" applyBorder="1" applyAlignment="1">
      <alignment horizontal="center"/>
    </xf>
    <xf numFmtId="0" fontId="2" fillId="15" borderId="1" xfId="0" applyFont="1" applyFill="1" applyBorder="1" applyAlignment="1">
      <alignment horizontal="center"/>
    </xf>
    <xf numFmtId="0" fontId="18" fillId="15" borderId="1" xfId="0" applyFont="1" applyFill="1" applyBorder="1" applyAlignment="1">
      <alignment horizontal="center"/>
    </xf>
    <xf numFmtId="0" fontId="2" fillId="15" borderId="1" xfId="0" quotePrefix="1" applyFont="1" applyFill="1" applyBorder="1" applyAlignment="1">
      <alignment horizontal="center"/>
    </xf>
    <xf numFmtId="0" fontId="2" fillId="15" borderId="1" xfId="0" applyFont="1" applyFill="1" applyBorder="1" applyAlignment="1">
      <alignment horizontal="center" vertical="center"/>
    </xf>
    <xf numFmtId="0" fontId="2" fillId="15" borderId="27" xfId="0" applyFont="1" applyFill="1" applyBorder="1" applyAlignment="1">
      <alignment horizontal="center"/>
    </xf>
    <xf numFmtId="0" fontId="2" fillId="15" borderId="28" xfId="0" applyFont="1" applyFill="1" applyBorder="1" applyAlignment="1">
      <alignment horizontal="center"/>
    </xf>
    <xf numFmtId="0" fontId="2" fillId="15" borderId="15" xfId="0" applyFont="1" applyFill="1" applyBorder="1" applyAlignment="1">
      <alignment horizontal="center"/>
    </xf>
    <xf numFmtId="12" fontId="1" fillId="0" borderId="0" xfId="0" applyNumberFormat="1" applyFont="1" applyAlignment="1">
      <alignment horizontal="center" vertical="center"/>
    </xf>
    <xf numFmtId="0" fontId="18" fillId="9" borderId="6" xfId="0" applyFont="1" applyFill="1" applyBorder="1" applyAlignment="1">
      <alignment horizontal="center" vertical="center"/>
    </xf>
    <xf numFmtId="0" fontId="18" fillId="9" borderId="7" xfId="0" applyFont="1" applyFill="1" applyBorder="1" applyAlignment="1">
      <alignment horizontal="center" vertical="center"/>
    </xf>
    <xf numFmtId="0" fontId="18" fillId="9" borderId="17" xfId="0" applyFont="1" applyFill="1" applyBorder="1" applyAlignment="1">
      <alignment horizontal="center" vertical="center"/>
    </xf>
    <xf numFmtId="0" fontId="18" fillId="9" borderId="8" xfId="0" applyFont="1" applyFill="1" applyBorder="1" applyAlignment="1">
      <alignment horizontal="center" vertical="center"/>
    </xf>
    <xf numFmtId="0" fontId="18" fillId="9" borderId="9" xfId="0" applyFont="1" applyFill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8" fillId="9" borderId="11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0" xfId="0" quotePrefix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" fontId="9" fillId="0" borderId="17" xfId="0" applyNumberFormat="1" applyFont="1" applyFill="1" applyBorder="1" applyAlignment="1">
      <alignment horizontal="center"/>
    </xf>
    <xf numFmtId="0" fontId="3" fillId="14" borderId="41" xfId="0" applyFont="1" applyFill="1" applyBorder="1" applyAlignment="1">
      <alignment horizontal="center" vertical="center"/>
    </xf>
    <xf numFmtId="0" fontId="18" fillId="3" borderId="1" xfId="0" applyFont="1" applyFill="1" applyBorder="1" applyAlignment="1">
      <alignment horizontal="center"/>
    </xf>
    <xf numFmtId="0" fontId="1" fillId="0" borderId="1" xfId="0" applyFont="1" applyBorder="1"/>
    <xf numFmtId="4" fontId="16" fillId="3" borderId="1" xfId="0" applyNumberFormat="1" applyFont="1" applyFill="1" applyBorder="1" applyAlignment="1">
      <alignment horizontal="center"/>
    </xf>
    <xf numFmtId="4" fontId="1" fillId="15" borderId="1" xfId="0" applyNumberFormat="1" applyFont="1" applyFill="1" applyBorder="1" applyAlignment="1">
      <alignment horizontal="center"/>
    </xf>
    <xf numFmtId="0" fontId="1" fillId="15" borderId="1" xfId="0" applyFont="1" applyFill="1" applyBorder="1"/>
    <xf numFmtId="0" fontId="17" fillId="0" borderId="0" xfId="0" applyFont="1"/>
    <xf numFmtId="0" fontId="16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26" fillId="0" borderId="14" xfId="0" applyFont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43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27" fillId="0" borderId="1" xfId="0" applyFont="1" applyBorder="1" applyAlignment="1">
      <alignment horizontal="center"/>
    </xf>
    <xf numFmtId="0" fontId="27" fillId="5" borderId="1" xfId="0" applyFont="1" applyFill="1" applyBorder="1" applyAlignment="1">
      <alignment horizontal="center"/>
    </xf>
    <xf numFmtId="0" fontId="3" fillId="7" borderId="1" xfId="0" applyFont="1" applyFill="1" applyBorder="1"/>
    <xf numFmtId="0" fontId="28" fillId="0" borderId="0" xfId="1" applyAlignment="1" applyProtection="1"/>
    <xf numFmtId="0" fontId="1" fillId="7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29" fillId="5" borderId="1" xfId="0" applyFont="1" applyFill="1" applyBorder="1"/>
    <xf numFmtId="0" fontId="18" fillId="0" borderId="0" xfId="0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2" fontId="16" fillId="5" borderId="1" xfId="0" applyNumberFormat="1" applyFont="1" applyFill="1" applyBorder="1" applyAlignment="1">
      <alignment horizontal="center" vertical="center"/>
    </xf>
    <xf numFmtId="2" fontId="1" fillId="5" borderId="2" xfId="0" applyNumberFormat="1" applyFont="1" applyFill="1" applyBorder="1" applyAlignment="1">
      <alignment horizontal="center" vertical="center"/>
    </xf>
    <xf numFmtId="2" fontId="1" fillId="5" borderId="0" xfId="0" applyNumberFormat="1" applyFont="1" applyFill="1" applyAlignment="1">
      <alignment horizontal="center"/>
    </xf>
    <xf numFmtId="0" fontId="1" fillId="0" borderId="1" xfId="0" applyFont="1" applyBorder="1" applyAlignment="1">
      <alignment horizontal="center" vertical="center"/>
    </xf>
    <xf numFmtId="165" fontId="30" fillId="0" borderId="0" xfId="0" applyNumberFormat="1" applyFont="1" applyFill="1" applyBorder="1" applyAlignment="1">
      <alignment horizontal="center"/>
    </xf>
    <xf numFmtId="169" fontId="30" fillId="0" borderId="0" xfId="0" applyNumberFormat="1" applyFont="1" applyFill="1" applyBorder="1" applyAlignment="1">
      <alignment horizontal="center"/>
    </xf>
    <xf numFmtId="2" fontId="30" fillId="0" borderId="0" xfId="0" applyNumberFormat="1" applyFont="1" applyFill="1" applyBorder="1" applyAlignment="1">
      <alignment horizontal="center"/>
    </xf>
    <xf numFmtId="10" fontId="30" fillId="0" borderId="0" xfId="0" applyNumberFormat="1" applyFont="1" applyFill="1" applyBorder="1" applyAlignment="1">
      <alignment horizontal="center"/>
    </xf>
    <xf numFmtId="166" fontId="30" fillId="0" borderId="0" xfId="0" applyNumberFormat="1" applyFont="1" applyFill="1" applyBorder="1" applyAlignment="1">
      <alignment horizontal="center"/>
    </xf>
    <xf numFmtId="12" fontId="30" fillId="0" borderId="0" xfId="0" applyNumberFormat="1" applyFont="1" applyFill="1" applyBorder="1" applyAlignment="1">
      <alignment horizontal="center"/>
    </xf>
    <xf numFmtId="12" fontId="30" fillId="0" borderId="0" xfId="0" applyNumberFormat="1" applyFont="1" applyFill="1" applyBorder="1" applyAlignment="1">
      <alignment horizontal="center" vertical="center"/>
    </xf>
    <xf numFmtId="9" fontId="30" fillId="0" borderId="0" xfId="0" applyNumberFormat="1" applyFont="1" applyFill="1" applyBorder="1" applyAlignment="1">
      <alignment horizontal="center"/>
    </xf>
    <xf numFmtId="0" fontId="30" fillId="0" borderId="0" xfId="0" applyFont="1" applyFill="1" applyBorder="1" applyAlignment="1">
      <alignment horizontal="center" vertical="center"/>
    </xf>
    <xf numFmtId="16" fontId="30" fillId="0" borderId="0" xfId="0" applyNumberFormat="1" applyFont="1" applyFill="1" applyBorder="1" applyAlignment="1">
      <alignment horizontal="center"/>
    </xf>
    <xf numFmtId="0" fontId="30" fillId="0" borderId="0" xfId="0" applyFont="1" applyFill="1" applyBorder="1" applyAlignment="1">
      <alignment horizontal="center"/>
    </xf>
    <xf numFmtId="0" fontId="30" fillId="0" borderId="0" xfId="0" applyFont="1" applyFill="1" applyBorder="1" applyAlignment="1">
      <alignment horizontal="center" shrinkToFit="1"/>
    </xf>
    <xf numFmtId="0" fontId="30" fillId="0" borderId="0" xfId="0" applyNumberFormat="1" applyFont="1" applyFill="1" applyBorder="1" applyAlignment="1">
      <alignment horizontal="center"/>
    </xf>
    <xf numFmtId="167" fontId="30" fillId="0" borderId="0" xfId="0" applyNumberFormat="1" applyFont="1" applyFill="1" applyBorder="1" applyAlignment="1">
      <alignment horizontal="center"/>
    </xf>
    <xf numFmtId="168" fontId="30" fillId="0" borderId="0" xfId="0" applyNumberFormat="1" applyFont="1" applyFill="1" applyBorder="1" applyAlignment="1">
      <alignment horizontal="center"/>
    </xf>
    <xf numFmtId="2" fontId="30" fillId="0" borderId="0" xfId="0" applyNumberFormat="1" applyFont="1" applyFill="1" applyBorder="1" applyAlignment="1">
      <alignment horizontal="center" vertical="center" shrinkToFit="1"/>
    </xf>
    <xf numFmtId="168" fontId="30" fillId="0" borderId="0" xfId="0" applyNumberFormat="1" applyFont="1" applyFill="1" applyBorder="1" applyAlignment="1">
      <alignment horizontal="center" vertical="center"/>
    </xf>
    <xf numFmtId="1" fontId="30" fillId="0" borderId="0" xfId="0" applyNumberFormat="1" applyFont="1" applyFill="1" applyBorder="1" applyAlignment="1">
      <alignment horizontal="center"/>
    </xf>
    <xf numFmtId="0" fontId="30" fillId="0" borderId="0" xfId="0" applyFont="1" applyFill="1" applyBorder="1" applyAlignment="1">
      <alignment horizontal="center" vertical="center" shrinkToFit="1"/>
    </xf>
    <xf numFmtId="0" fontId="30" fillId="0" borderId="0" xfId="0" quotePrefix="1" applyFont="1" applyFill="1" applyBorder="1" applyAlignment="1">
      <alignment horizontal="center"/>
    </xf>
    <xf numFmtId="0" fontId="30" fillId="0" borderId="0" xfId="0" applyFont="1" applyFill="1" applyBorder="1" applyAlignment="1">
      <alignment horizontal="left"/>
    </xf>
    <xf numFmtId="0" fontId="30" fillId="0" borderId="0" xfId="0" applyFont="1" applyFill="1" applyBorder="1" applyAlignment="1">
      <alignment horizontal="left" shrinkToFit="1"/>
    </xf>
    <xf numFmtId="0" fontId="30" fillId="0" borderId="0" xfId="0" applyFont="1" applyFill="1" applyBorder="1" applyAlignment="1">
      <alignment horizontal="left" vertical="center" shrinkToFit="1"/>
    </xf>
    <xf numFmtId="2" fontId="30" fillId="0" borderId="0" xfId="0" applyNumberFormat="1" applyFont="1" applyFill="1" applyBorder="1" applyAlignment="1">
      <alignment horizontal="center" vertical="center"/>
    </xf>
    <xf numFmtId="0" fontId="28" fillId="0" borderId="0" xfId="1" applyFill="1" applyBorder="1" applyAlignment="1" applyProtection="1">
      <alignment horizontal="center"/>
    </xf>
    <xf numFmtId="0" fontId="30" fillId="0" borderId="0" xfId="0" applyFont="1" applyFill="1" applyBorder="1" applyAlignment="1">
      <alignment horizontal="center"/>
    </xf>
    <xf numFmtId="0" fontId="3" fillId="0" borderId="20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4" fontId="3" fillId="0" borderId="4" xfId="0" applyNumberFormat="1" applyFont="1" applyFill="1" applyBorder="1" applyAlignment="1">
      <alignment horizontal="center" vertical="center"/>
    </xf>
    <xf numFmtId="4" fontId="3" fillId="0" borderId="15" xfId="0" applyNumberFormat="1" applyFont="1" applyFill="1" applyBorder="1" applyAlignment="1">
      <alignment horizontal="center" vertical="center"/>
    </xf>
    <xf numFmtId="4" fontId="1" fillId="0" borderId="1" xfId="0" applyNumberFormat="1" applyFont="1" applyFill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/>
    </xf>
    <xf numFmtId="4" fontId="1" fillId="0" borderId="4" xfId="0" applyNumberFormat="1" applyFont="1" applyFill="1" applyBorder="1" applyAlignment="1">
      <alignment horizontal="center" vertical="center"/>
    </xf>
    <xf numFmtId="4" fontId="1" fillId="0" borderId="15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0" fontId="3" fillId="8" borderId="15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 wrapText="1"/>
    </xf>
    <xf numFmtId="2" fontId="7" fillId="0" borderId="1" xfId="0" applyNumberFormat="1" applyFont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0" fontId="3" fillId="8" borderId="16" xfId="0" applyFont="1" applyFill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18" fillId="9" borderId="6" xfId="0" applyFont="1" applyFill="1" applyBorder="1" applyAlignment="1">
      <alignment horizontal="center" vertical="center"/>
    </xf>
    <xf numFmtId="0" fontId="18" fillId="9" borderId="7" xfId="0" applyFont="1" applyFill="1" applyBorder="1" applyAlignment="1">
      <alignment horizontal="center" vertical="center"/>
    </xf>
    <xf numFmtId="0" fontId="18" fillId="9" borderId="9" xfId="0" applyFont="1" applyFill="1" applyBorder="1" applyAlignment="1">
      <alignment horizontal="center" vertical="center"/>
    </xf>
    <xf numFmtId="0" fontId="18" fillId="9" borderId="1" xfId="0" applyFont="1" applyFill="1" applyBorder="1" applyAlignment="1">
      <alignment horizontal="center" vertical="center"/>
    </xf>
    <xf numFmtId="0" fontId="18" fillId="9" borderId="11" xfId="0" applyFont="1" applyFill="1" applyBorder="1" applyAlignment="1">
      <alignment horizontal="center" vertical="center"/>
    </xf>
    <xf numFmtId="0" fontId="18" fillId="9" borderId="12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30" fillId="0" borderId="0" xfId="0" applyFont="1" applyFill="1" applyBorder="1" applyAlignment="1">
      <alignment horizontal="left"/>
    </xf>
    <xf numFmtId="0" fontId="30" fillId="0" borderId="0" xfId="0" applyFont="1" applyFill="1" applyBorder="1" applyAlignment="1">
      <alignment horizontal="left" shrinkToFit="1"/>
    </xf>
    <xf numFmtId="0" fontId="30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center"/>
    </xf>
    <xf numFmtId="2" fontId="30" fillId="0" borderId="0" xfId="0" applyNumberFormat="1" applyFont="1" applyFill="1" applyBorder="1" applyAlignment="1">
      <alignment horizontal="center" vertical="center"/>
    </xf>
    <xf numFmtId="1" fontId="30" fillId="0" borderId="0" xfId="0" applyNumberFormat="1" applyFont="1" applyFill="1" applyBorder="1" applyAlignment="1">
      <alignment horizontal="center" vertical="center"/>
    </xf>
    <xf numFmtId="0" fontId="21" fillId="3" borderId="0" xfId="0" applyFont="1" applyFill="1" applyAlignment="1">
      <alignment horizontal="center" vertical="center"/>
    </xf>
    <xf numFmtId="4" fontId="1" fillId="4" borderId="1" xfId="0" applyNumberFormat="1" applyFont="1" applyFill="1" applyBorder="1" applyAlignment="1">
      <alignment horizontal="center" vertical="center"/>
    </xf>
    <xf numFmtId="0" fontId="18" fillId="3" borderId="20" xfId="0" applyFont="1" applyFill="1" applyBorder="1" applyAlignment="1">
      <alignment horizontal="center"/>
    </xf>
    <xf numFmtId="0" fontId="18" fillId="3" borderId="29" xfId="0" applyFont="1" applyFill="1" applyBorder="1" applyAlignment="1">
      <alignment horizontal="center"/>
    </xf>
    <xf numFmtId="0" fontId="18" fillId="3" borderId="2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20" fillId="4" borderId="5" xfId="0" applyFont="1" applyFill="1" applyBorder="1" applyAlignment="1">
      <alignment horizontal="center"/>
    </xf>
    <xf numFmtId="0" fontId="20" fillId="4" borderId="43" xfId="0" applyFont="1" applyFill="1" applyBorder="1" applyAlignment="1">
      <alignment horizontal="center"/>
    </xf>
    <xf numFmtId="0" fontId="20" fillId="4" borderId="18" xfId="0" applyFont="1" applyFill="1" applyBorder="1" applyAlignment="1">
      <alignment horizontal="center"/>
    </xf>
    <xf numFmtId="0" fontId="20" fillId="4" borderId="42" xfId="0" applyFont="1" applyFill="1" applyBorder="1" applyAlignment="1">
      <alignment horizontal="center"/>
    </xf>
    <xf numFmtId="0" fontId="20" fillId="4" borderId="14" xfId="0" applyFont="1" applyFill="1" applyBorder="1" applyAlignment="1">
      <alignment horizontal="center"/>
    </xf>
    <xf numFmtId="0" fontId="20" fillId="4" borderId="19" xfId="0" applyFont="1" applyFill="1" applyBorder="1" applyAlignment="1">
      <alignment horizontal="center"/>
    </xf>
    <xf numFmtId="0" fontId="22" fillId="3" borderId="0" xfId="0" applyFont="1" applyFill="1" applyAlignment="1">
      <alignment horizontal="center" vertical="center"/>
    </xf>
    <xf numFmtId="0" fontId="18" fillId="3" borderId="1" xfId="0" applyFont="1" applyFill="1" applyBorder="1" applyAlignment="1">
      <alignment horizontal="center"/>
    </xf>
    <xf numFmtId="0" fontId="1" fillId="1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6" fillId="3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25" fillId="14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5.xml"/><Relationship Id="rId13" Type="http://schemas.openxmlformats.org/officeDocument/2006/relationships/calcChain" Target="calcChain.xml"/><Relationship Id="rId3" Type="http://schemas.openxmlformats.org/officeDocument/2006/relationships/worksheet" Target="worksheets/sheet1.xml"/><Relationship Id="rId7" Type="http://schemas.openxmlformats.org/officeDocument/2006/relationships/worksheet" Target="worksheets/sheet4.xml"/><Relationship Id="rId12" Type="http://schemas.openxmlformats.org/officeDocument/2006/relationships/sharedStrings" Target="sharedStrings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microsoft.com/office/2006/relationships/xlMacrosheet" Target="macro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3.xml"/><Relationship Id="rId10" Type="http://schemas.openxmlformats.org/officeDocument/2006/relationships/theme" Target="theme/theme1.xml"/><Relationship Id="rId4" Type="http://schemas.openxmlformats.org/officeDocument/2006/relationships/worksheet" Target="worksheets/sheet2.xml"/><Relationship Id="rId9" Type="http://schemas.openxmlformats.org/officeDocument/2006/relationships/worksheet" Target="worksheets/sheet6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104589752881745E-2"/>
          <c:y val="0.10502754564049706"/>
          <c:w val="0.78146491215836078"/>
          <c:h val="0.79321381572316496"/>
        </c:manualLayout>
      </c:layout>
      <c:scatterChart>
        <c:scatterStyle val="lineMarker"/>
        <c:varyColors val="0"/>
        <c:ser>
          <c:idx val="0"/>
          <c:order val="0"/>
          <c:dPt>
            <c:idx val="0"/>
            <c:marker>
              <c:spPr>
                <a:ln>
                  <a:prstDash val="solid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8357-4929-B81A-BE7F1F552C73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26892.00, 76322.00 </a:t>
                    </a:r>
                    <a:r>
                      <a:rPr lang="en-US" b="0">
                        <a:solidFill>
                          <a:srgbClr val="FF0000"/>
                        </a:solidFill>
                      </a:rPr>
                      <a:t>Rotary-KOP</a:t>
                    </a:r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357-4929-B81A-BE7F1F552C7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357-4929-B81A-BE7F1F552C7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26922.26, 76536.19  </a:t>
                    </a:r>
                    <a:r>
                      <a:rPr lang="en-US" b="0">
                        <a:solidFill>
                          <a:srgbClr val="FF0000"/>
                        </a:solidFill>
                      </a:rPr>
                      <a:t>Origin1</a:t>
                    </a:r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357-4929-B81A-BE7F1F552C73}"/>
                </c:ext>
              </c:extLst>
            </c:dLbl>
            <c:dLbl>
              <c:idx val="3"/>
              <c:layout>
                <c:manualLayout>
                  <c:x val="-0.22982363666772221"/>
                  <c:y val="-6.0473589151958914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27158.93, 78211.31  </a:t>
                    </a:r>
                    <a:r>
                      <a:rPr lang="en-US">
                        <a:solidFill>
                          <a:srgbClr val="FF0000"/>
                        </a:solidFill>
                      </a:rPr>
                      <a:t>DOP</a:t>
                    </a:r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357-4929-B81A-BE7F1F552C73}"/>
                </c:ext>
              </c:extLst>
            </c:dLbl>
            <c:dLbl>
              <c:idx val="4"/>
              <c:layout>
                <c:manualLayout>
                  <c:x val="2.9276896390792624E-3"/>
                  <c:y val="4.636308501650201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27200.00, 78502.00 </a:t>
                    </a:r>
                    <a:r>
                      <a:rPr lang="en-US" b="0">
                        <a:solidFill>
                          <a:srgbClr val="FF0000"/>
                        </a:solidFill>
                      </a:rPr>
                      <a:t>EOD,Target,KOP2</a:t>
                    </a:r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357-4929-B81A-BE7F1F552C73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357-4929-B81A-BE7F1F552C73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357-4929-B81A-BE7F1F552C73}"/>
                </c:ext>
              </c:extLst>
            </c:dLbl>
            <c:dLbl>
              <c:idx val="7"/>
              <c:layout>
                <c:manualLayout>
                  <c:x val="0"/>
                  <c:y val="1.20947178303909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27217.06, 78622.75  </a:t>
                    </a:r>
                    <a:r>
                      <a:rPr lang="en-US">
                        <a:solidFill>
                          <a:srgbClr val="FF0000"/>
                        </a:solidFill>
                      </a:rPr>
                      <a:t>Origin2</a:t>
                    </a:r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357-4929-B81A-BE7F1F552C73}"/>
                </c:ext>
              </c:extLst>
            </c:dLbl>
            <c:dLbl>
              <c:idx val="8"/>
              <c:layout>
                <c:manualLayout>
                  <c:x val="-0.17712522316429541"/>
                  <c:y val="-2.620522196584874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27340.99, 79499.92  </a:t>
                    </a:r>
                    <a:r>
                      <a:rPr lang="en-US">
                        <a:solidFill>
                          <a:srgbClr val="FF0000"/>
                        </a:solidFill>
                      </a:rPr>
                      <a:t>BUP</a:t>
                    </a:r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357-4929-B81A-BE7F1F552C73}"/>
                </c:ext>
              </c:extLst>
            </c:dLbl>
            <c:dLbl>
              <c:idx val="9"/>
              <c:layout>
                <c:manualLayout>
                  <c:x val="-2.9276896390792624E-3"/>
                  <c:y val="1.007893152532621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27364.39, 79665.55 </a:t>
                    </a:r>
                    <a:r>
                      <a:rPr lang="en-US">
                        <a:solidFill>
                          <a:srgbClr val="FF0000"/>
                        </a:solidFill>
                      </a:rPr>
                      <a:t>Landing</a:t>
                    </a:r>
                    <a:r>
                      <a:rPr lang="en-US"/>
                      <a:t> </a:t>
                    </a:r>
                    <a:r>
                      <a:rPr lang="en-US">
                        <a:solidFill>
                          <a:srgbClr val="FF0000"/>
                        </a:solidFill>
                      </a:rPr>
                      <a:t>Point</a:t>
                    </a:r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357-4929-B81A-BE7F1F552C7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27504.29, 80655.71  </a:t>
                    </a:r>
                    <a:r>
                      <a:rPr lang="en-US">
                        <a:solidFill>
                          <a:srgbClr val="FF0000"/>
                        </a:solidFill>
                      </a:rPr>
                      <a:t>Total</a:t>
                    </a:r>
                    <a:r>
                      <a:rPr lang="en-US"/>
                      <a:t> </a:t>
                    </a:r>
                    <a:r>
                      <a:rPr lang="en-US">
                        <a:solidFill>
                          <a:srgbClr val="FF0000"/>
                        </a:solidFill>
                      </a:rPr>
                      <a:t>Depth</a:t>
                    </a:r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357-4929-B81A-BE7F1F552C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'Well Planning(SI)'!$C$8:$C$18</c:f>
              <c:numCache>
                <c:formatCode>0.00</c:formatCode>
                <c:ptCount val="11"/>
                <c:pt idx="0">
                  <c:v>26890</c:v>
                </c:pt>
                <c:pt idx="1">
                  <c:v>26890</c:v>
                </c:pt>
                <c:pt idx="2">
                  <c:v>26898.232923062526</c:v>
                </c:pt>
                <c:pt idx="3">
                  <c:v>26988.826747272291</c:v>
                </c:pt>
                <c:pt idx="4">
                  <c:v>27000</c:v>
                </c:pt>
                <c:pt idx="5">
                  <c:v>27000</c:v>
                </c:pt>
                <c:pt idx="6">
                  <c:v>27000</c:v>
                </c:pt>
                <c:pt idx="7">
                  <c:v>27004.733639750029</c:v>
                </c:pt>
                <c:pt idx="8">
                  <c:v>27016.396564108793</c:v>
                </c:pt>
                <c:pt idx="9">
                  <c:v>27028.796110328873</c:v>
                </c:pt>
                <c:pt idx="10">
                  <c:v>27121.458323693612</c:v>
                </c:pt>
              </c:numCache>
            </c:numRef>
          </c:xVal>
          <c:yVal>
            <c:numRef>
              <c:f>'Well Planning(SI)'!$D$8:$D$18</c:f>
              <c:numCache>
                <c:formatCode>0.00</c:formatCode>
                <c:ptCount val="11"/>
                <c:pt idx="0">
                  <c:v>76320</c:v>
                </c:pt>
                <c:pt idx="1">
                  <c:v>76320</c:v>
                </c:pt>
                <c:pt idx="2">
                  <c:v>76408.466500544571</c:v>
                </c:pt>
                <c:pt idx="3">
                  <c:v>77381.9383206895</c:v>
                </c:pt>
                <c:pt idx="4">
                  <c:v>77502</c:v>
                </c:pt>
                <c:pt idx="5">
                  <c:v>77502</c:v>
                </c:pt>
                <c:pt idx="6">
                  <c:v>77502</c:v>
                </c:pt>
                <c:pt idx="7">
                  <c:v>77552.865110768515</c:v>
                </c:pt>
                <c:pt idx="8">
                  <c:v>77678.188534332687</c:v>
                </c:pt>
                <c:pt idx="9">
                  <c:v>77811.427294624824</c:v>
                </c:pt>
                <c:pt idx="10">
                  <c:v>78807.124896416834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357-4929-B81A-BE7F1F552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612096"/>
        <c:axId val="70614016"/>
      </c:scatterChart>
      <c:valAx>
        <c:axId val="7061209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spPr>
          <a:noFill/>
        </c:spPr>
        <c:txPr>
          <a:bodyPr/>
          <a:lstStyle/>
          <a:p>
            <a:pPr>
              <a:defRPr lang="en-US"/>
            </a:pPr>
            <a:endParaRPr lang="en-US"/>
          </a:p>
        </c:txPr>
        <c:crossAx val="70614016"/>
        <c:crosses val="autoZero"/>
        <c:crossBetween val="midCat"/>
        <c:dispUnits>
          <c:builtInUnit val="thousands"/>
          <c:dispUnitsLbl>
            <c:layout>
              <c:manualLayout>
                <c:xMode val="edge"/>
                <c:yMode val="edge"/>
                <c:x val="0.53798487122142169"/>
                <c:y val="0.95162112867847792"/>
              </c:manualLayout>
            </c:layout>
            <c:tx>
              <c:rich>
                <a:bodyPr/>
                <a:lstStyle/>
                <a:p>
                  <a:pPr>
                    <a:defRPr lang="en-US"/>
                  </a:pPr>
                  <a:r>
                    <a:rPr lang="en-US"/>
                    <a:t>EAST</a:t>
                  </a:r>
                </a:p>
              </c:rich>
            </c:tx>
          </c:dispUnitsLbl>
        </c:dispUnits>
      </c:valAx>
      <c:valAx>
        <c:axId val="70614016"/>
        <c:scaling>
          <c:orientation val="minMax"/>
        </c:scaling>
        <c:delete val="0"/>
        <c:axPos val="l"/>
        <c:numFmt formatCode="0.00" sourceLinked="0"/>
        <c:majorTickMark val="out"/>
        <c:minorTickMark val="none"/>
        <c:tickLblPos val="nextTo"/>
        <c:spPr>
          <a:noFill/>
        </c:spPr>
        <c:txPr>
          <a:bodyPr rot="0" vert="horz" anchor="ctr" anchorCtr="1"/>
          <a:lstStyle/>
          <a:p>
            <a:pPr>
              <a:defRPr lang="en-US"/>
            </a:pPr>
            <a:endParaRPr lang="en-US"/>
          </a:p>
        </c:txPr>
        <c:crossAx val="70612096"/>
        <c:crosses val="autoZero"/>
        <c:crossBetween val="midCat"/>
        <c:dispUnits>
          <c:builtInUnit val="thousands"/>
          <c:dispUnitsLbl>
            <c:layout>
              <c:manualLayout>
                <c:xMode val="edge"/>
                <c:yMode val="edge"/>
                <c:x val="1.7566137834475581E-2"/>
                <c:y val="0.44367964489146577"/>
              </c:manualLayout>
            </c:layout>
            <c:tx>
              <c:rich>
                <a:bodyPr/>
                <a:lstStyle/>
                <a:p>
                  <a:pPr>
                    <a:defRPr lang="en-US" b="1" u="none"/>
                  </a:pPr>
                  <a:r>
                    <a:rPr lang="en-US" b="1" u="none"/>
                    <a:t>NORTH</a:t>
                  </a:r>
                </a:p>
              </c:rich>
            </c:tx>
          </c:dispUnitsLbl>
        </c:dispUnits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204440336970147E-2"/>
          <c:y val="3.8506597573342474E-2"/>
          <c:w val="0.83761212100394256"/>
          <c:h val="0.87460793353179911"/>
        </c:manualLayout>
      </c:layout>
      <c:scatterChart>
        <c:scatterStyle val="smoothMarker"/>
        <c:varyColors val="0"/>
        <c:ser>
          <c:idx val="0"/>
          <c:order val="0"/>
          <c:dPt>
            <c:idx val="2"/>
            <c:bubble3D val="0"/>
            <c:spPr>
              <a:ln>
                <a:prstDash val="sysDot"/>
              </a:ln>
            </c:spPr>
            <c:extLst>
              <c:ext xmlns:c16="http://schemas.microsoft.com/office/drawing/2014/chart" uri="{C3380CC4-5D6E-409C-BE32-E72D297353CC}">
                <c16:uniqueId val="{00000000-D072-4133-98C3-62942D5745FE}"/>
              </c:ext>
            </c:extLst>
          </c:dPt>
          <c:dPt>
            <c:idx val="4"/>
            <c:bubble3D val="0"/>
            <c:spPr>
              <a:ln>
                <a:prstDash val="sysDot"/>
              </a:ln>
            </c:spPr>
            <c:extLst>
              <c:ext xmlns:c16="http://schemas.microsoft.com/office/drawing/2014/chart" uri="{C3380CC4-5D6E-409C-BE32-E72D297353CC}">
                <c16:uniqueId val="{00000001-D072-4133-98C3-62942D5745FE}"/>
              </c:ext>
            </c:extLst>
          </c:dPt>
          <c:dPt>
            <c:idx val="7"/>
            <c:bubble3D val="0"/>
            <c:spPr>
              <a:ln>
                <a:prstDash val="sysDot"/>
              </a:ln>
            </c:spPr>
            <c:extLst>
              <c:ext xmlns:c16="http://schemas.microsoft.com/office/drawing/2014/chart" uri="{C3380CC4-5D6E-409C-BE32-E72D297353CC}">
                <c16:uniqueId val="{00000002-D072-4133-98C3-62942D5745FE}"/>
              </c:ext>
            </c:extLst>
          </c:dPt>
          <c:dPt>
            <c:idx val="9"/>
            <c:bubble3D val="0"/>
            <c:spPr>
              <a:ln>
                <a:prstDash val="sysDot"/>
              </a:ln>
            </c:spPr>
            <c:extLst>
              <c:ext xmlns:c16="http://schemas.microsoft.com/office/drawing/2014/chart" uri="{C3380CC4-5D6E-409C-BE32-E72D297353CC}">
                <c16:uniqueId val="{00000003-D072-4133-98C3-62942D5745FE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en-US" sz="800"/>
                      <a:t>0.00, -600.00 </a:t>
                    </a:r>
                    <a:r>
                      <a:rPr lang="en-US" sz="800">
                        <a:solidFill>
                          <a:srgbClr val="FF0000"/>
                        </a:solidFill>
                      </a:rPr>
                      <a:t>KOP</a:t>
                    </a:r>
                  </a:p>
                </c:rich>
              </c:tx>
              <c:dLblPos val="r"/>
              <c:showLegendKey val="1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072-4133-98C3-62942D5745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 sz="800"/>
                      <a:t>88,85,-871.65 </a:t>
                    </a:r>
                    <a:r>
                      <a:rPr lang="en-US" sz="800">
                        <a:solidFill>
                          <a:srgbClr val="FF0000"/>
                        </a:solidFill>
                      </a:rPr>
                      <a:t>Origin1</a:t>
                    </a:r>
                  </a:p>
                </c:rich>
              </c:tx>
              <c:dLblPos val="r"/>
              <c:showLegendKey val="1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072-4133-98C3-62942D5745F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 sz="800"/>
                      <a:t>1066.53,-2206.34 </a:t>
                    </a:r>
                    <a:r>
                      <a:rPr lang="en-US" sz="800">
                        <a:solidFill>
                          <a:srgbClr val="FF0000"/>
                        </a:solidFill>
                      </a:rPr>
                      <a:t>DOP</a:t>
                    </a:r>
                  </a:p>
                </c:rich>
              </c:tx>
              <c:dLblPos val="r"/>
              <c:showLegendKey val="1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072-4133-98C3-62942D5745FE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072-4133-98C3-62942D5745FE}"/>
                </c:ext>
              </c:extLst>
            </c:dLbl>
            <c:dLbl>
              <c:idx val="5"/>
              <c:layout>
                <c:manualLayout>
                  <c:x val="-1.1710758556318044E-2"/>
                  <c:y val="6.0473589151958914E-3"/>
                </c:manualLayout>
              </c:layout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chemeClr val="tx1"/>
                        </a:solidFill>
                      </a:rPr>
                      <a:t>1187.11,-2575</a:t>
                    </a:r>
                    <a:r>
                      <a:rPr lang="en-US" sz="800">
                        <a:solidFill>
                          <a:srgbClr val="FF0000"/>
                        </a:solidFill>
                      </a:rPr>
                      <a:t>Target,EOD</a:t>
                    </a:r>
                  </a:p>
                </c:rich>
              </c:tx>
              <c:dLblPos val="r"/>
              <c:showLegendKey val="1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072-4133-98C3-62942D5745F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 sz="800">
                        <a:solidFill>
                          <a:schemeClr val="tx1"/>
                        </a:solidFill>
                      </a:rPr>
                      <a:t>1187.11,-2875</a:t>
                    </a:r>
                    <a:r>
                      <a:rPr lang="en-US" sz="800">
                        <a:solidFill>
                          <a:srgbClr val="FF0000"/>
                        </a:solidFill>
                      </a:rPr>
                      <a:t>KOP2</a:t>
                    </a:r>
                  </a:p>
                </c:rich>
              </c:tx>
              <c:dLblPos val="r"/>
              <c:showLegendKey val="1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072-4133-98C3-62942D5745F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 sz="800"/>
                      <a:t>1238.19,-3015.35  </a:t>
                    </a:r>
                    <a:r>
                      <a:rPr lang="en-US" sz="800">
                        <a:solidFill>
                          <a:srgbClr val="FF0000"/>
                        </a:solidFill>
                      </a:rPr>
                      <a:t>Origin2</a:t>
                    </a:r>
                  </a:p>
                </c:rich>
              </c:tx>
              <c:dLblPos val="r"/>
              <c:showLegendKey val="1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072-4133-98C3-62942D5745F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 sz="800"/>
                      <a:t>1364.87,-3227.75  </a:t>
                    </a:r>
                    <a:r>
                      <a:rPr lang="en-US" sz="800">
                        <a:solidFill>
                          <a:srgbClr val="FF0000"/>
                        </a:solidFill>
                      </a:rPr>
                      <a:t>BUP</a:t>
                    </a:r>
                  </a:p>
                </c:rich>
              </c:tx>
              <c:dLblPos val="r"/>
              <c:showLegendKey val="1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072-4133-98C3-62942D5745FE}"/>
                </c:ext>
              </c:extLst>
            </c:dLbl>
            <c:dLbl>
              <c:idx val="9"/>
              <c:layout>
                <c:manualLayout>
                  <c:x val="-2.4885361932173812E-2"/>
                  <c:y val="4.8378871321566964E-2"/>
                </c:manualLayout>
              </c:layout>
              <c:tx>
                <c:rich>
                  <a:bodyPr/>
                  <a:lstStyle/>
                  <a:p>
                    <a:r>
                      <a:rPr lang="en-US" sz="800"/>
                      <a:t>1497.87,-3227.75 </a:t>
                    </a:r>
                    <a:r>
                      <a:rPr lang="en-US" sz="800">
                        <a:solidFill>
                          <a:srgbClr val="FF0000"/>
                        </a:solidFill>
                      </a:rPr>
                      <a:t>Landing</a:t>
                    </a:r>
                    <a:r>
                      <a:rPr lang="en-US" sz="800"/>
                      <a:t> </a:t>
                    </a:r>
                    <a:r>
                      <a:rPr lang="en-US" sz="800">
                        <a:solidFill>
                          <a:srgbClr val="FF0000"/>
                        </a:solidFill>
                      </a:rPr>
                      <a:t>Point</a:t>
                    </a:r>
                  </a:p>
                </c:rich>
              </c:tx>
              <c:dLblPos val="r"/>
              <c:showLegendKey val="1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72-4133-98C3-62942D5745F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 sz="800"/>
                      <a:t>2497.87,-3227.75 </a:t>
                    </a:r>
                    <a:r>
                      <a:rPr lang="en-US" sz="800">
                        <a:solidFill>
                          <a:srgbClr val="FF0000"/>
                        </a:solidFill>
                      </a:rPr>
                      <a:t>Total</a:t>
                    </a:r>
                    <a:r>
                      <a:rPr lang="en-US" sz="800"/>
                      <a:t> </a:t>
                    </a:r>
                    <a:r>
                      <a:rPr lang="en-US" sz="800">
                        <a:solidFill>
                          <a:srgbClr val="FF0000"/>
                        </a:solidFill>
                      </a:rPr>
                      <a:t>Depth</a:t>
                    </a:r>
                  </a:p>
                </c:rich>
              </c:tx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072-4133-98C3-62942D5745FE}"/>
                </c:ext>
              </c:extLst>
            </c:dLbl>
            <c:spPr>
              <a:noFill/>
              <a:ln>
                <a:prstDash val="sysDash"/>
              </a:ln>
            </c:spPr>
            <c:txPr>
              <a:bodyPr/>
              <a:lstStyle/>
              <a:p>
                <a:pPr>
                  <a:defRPr lang="en-US" sz="800"/>
                </a:pPr>
                <a:endParaRPr lang="en-US"/>
              </a:p>
            </c:txPr>
            <c:dLblPos val="r"/>
            <c:showLegendKey val="1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'Well Planning(SI)'!$C$22:$C$32</c:f>
              <c:numCache>
                <c:formatCode>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88.848763304599572</c:v>
                </c:pt>
                <c:pt idx="3">
                  <c:v>1066.5269443034558</c:v>
                </c:pt>
                <c:pt idx="4">
                  <c:v>1187.1074087882696</c:v>
                </c:pt>
                <c:pt idx="5">
                  <c:v>1187.1074087882696</c:v>
                </c:pt>
                <c:pt idx="6">
                  <c:v>1187.1074087882696</c:v>
                </c:pt>
                <c:pt idx="7">
                  <c:v>1238.1923071318747</c:v>
                </c:pt>
                <c:pt idx="8">
                  <c:v>1364.0572518084666</c:v>
                </c:pt>
                <c:pt idx="9">
                  <c:v>1497.8717352945514</c:v>
                </c:pt>
                <c:pt idx="10">
                  <c:v>2497.8717352945514</c:v>
                </c:pt>
              </c:numCache>
            </c:numRef>
          </c:xVal>
          <c:yVal>
            <c:numRef>
              <c:f>'Well Planning(SI)'!$D$22:$D$32</c:f>
              <c:numCache>
                <c:formatCode>0.00</c:formatCode>
                <c:ptCount val="11"/>
                <c:pt idx="0">
                  <c:v>0</c:v>
                </c:pt>
                <c:pt idx="1">
                  <c:v>-600</c:v>
                </c:pt>
                <c:pt idx="2">
                  <c:v>-871.64640215133204</c:v>
                </c:pt>
                <c:pt idx="3">
                  <c:v>-2206.3370256517637</c:v>
                </c:pt>
                <c:pt idx="4">
                  <c:v>-2575</c:v>
                </c:pt>
                <c:pt idx="5">
                  <c:v>-2575</c:v>
                </c:pt>
                <c:pt idx="6">
                  <c:v>-2875</c:v>
                </c:pt>
                <c:pt idx="7">
                  <c:v>-3015.3546046741899</c:v>
                </c:pt>
                <c:pt idx="8">
                  <c:v>-3165.3546046741899</c:v>
                </c:pt>
                <c:pt idx="9">
                  <c:v>-3227.753323095807</c:v>
                </c:pt>
                <c:pt idx="10">
                  <c:v>-3227.753323095807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072-4133-98C3-62942D574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783744"/>
        <c:axId val="70785664"/>
      </c:scatterChart>
      <c:valAx>
        <c:axId val="70783744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70785664"/>
        <c:crosses val="autoZero"/>
        <c:crossBetween val="midCat"/>
        <c:dispUnits>
          <c:builtInUnit val="tenThousands"/>
          <c:dispUnitsLbl>
            <c:tx>
              <c:rich>
                <a:bodyPr/>
                <a:lstStyle/>
                <a:p>
                  <a:pPr>
                    <a:defRPr lang="en-US"/>
                  </a:pPr>
                  <a:r>
                    <a:rPr lang="en-US"/>
                    <a:t>x 10000 (meters)</a:t>
                  </a:r>
                </a:p>
              </c:rich>
            </c:tx>
          </c:dispUnitsLbl>
        </c:dispUnits>
      </c:valAx>
      <c:valAx>
        <c:axId val="70785664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 sz="800"/>
            </a:pPr>
            <a:endParaRPr lang="en-US"/>
          </a:p>
        </c:txPr>
        <c:crossAx val="70783744"/>
        <c:crosses val="autoZero"/>
        <c:crossBetween val="midCat"/>
        <c:dispUnits>
          <c:builtInUnit val="hundreds"/>
          <c:dispUnitsLbl>
            <c:layout>
              <c:manualLayout>
                <c:xMode val="edge"/>
                <c:yMode val="edge"/>
                <c:x val="8.6036614793154692E-2"/>
                <c:y val="0.12316962238609055"/>
              </c:manualLayout>
            </c:layout>
            <c:tx>
              <c:rich>
                <a:bodyPr/>
                <a:lstStyle/>
                <a:p>
                  <a:pPr>
                    <a:defRPr lang="en-US"/>
                  </a:pPr>
                  <a:r>
                    <a:rPr lang="en-US"/>
                    <a:t>Hundreds (meters)</a:t>
                  </a:r>
                </a:p>
              </c:rich>
            </c:tx>
          </c:dispUnitsLbl>
        </c:dispUnits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>
    <tabColor rgb="FFFF0000"/>
  </sheetPr>
  <sheetViews>
    <sheetView zoomScale="8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2">
    <tabColor rgb="FFFF0000"/>
  </sheetPr>
  <sheetViews>
    <sheetView zoomScale="8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5783" cy="630027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5783" cy="630027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17320</xdr:colOff>
      <xdr:row>47</xdr:row>
      <xdr:rowOff>43296</xdr:rowOff>
    </xdr:from>
    <xdr:to>
      <xdr:col>2</xdr:col>
      <xdr:colOff>978478</xdr:colOff>
      <xdr:row>48</xdr:row>
      <xdr:rowOff>207818</xdr:rowOff>
    </xdr:to>
    <xdr:sp macro="[0]!NotchedRightArrow1_Click" textlink="">
      <xdr:nvSpPr>
        <xdr:cNvPr id="2" name="Notched Right Arrow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277343" y="3680114"/>
          <a:ext cx="961158" cy="406977"/>
        </a:xfrm>
        <a:prstGeom prst="notched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900">
              <a:solidFill>
                <a:schemeClr val="bg1"/>
              </a:solidFill>
            </a:rPr>
            <a:t>calculate x,y</a:t>
          </a:r>
        </a:p>
      </xdr:txBody>
    </xdr:sp>
    <xdr:clientData/>
  </xdr:twoCellAnchor>
  <xdr:twoCellAnchor>
    <xdr:from>
      <xdr:col>2</xdr:col>
      <xdr:colOff>38100</xdr:colOff>
      <xdr:row>77</xdr:row>
      <xdr:rowOff>38100</xdr:rowOff>
    </xdr:from>
    <xdr:to>
      <xdr:col>2</xdr:col>
      <xdr:colOff>1009650</xdr:colOff>
      <xdr:row>79</xdr:row>
      <xdr:rowOff>8382</xdr:rowOff>
    </xdr:to>
    <xdr:sp macro="[0]!NotchedRightArrow2_Click" textlink="">
      <xdr:nvSpPr>
        <xdr:cNvPr id="3" name="Notched Right Arrow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295525" y="4324350"/>
          <a:ext cx="971550" cy="446532"/>
        </a:xfrm>
        <a:prstGeom prst="notched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800"/>
            <a:t>calculation x,y</a:t>
          </a:r>
        </a:p>
      </xdr:txBody>
    </xdr:sp>
    <xdr:clientData/>
  </xdr:twoCellAnchor>
  <xdr:twoCellAnchor>
    <xdr:from>
      <xdr:col>2</xdr:col>
      <xdr:colOff>95250</xdr:colOff>
      <xdr:row>111</xdr:row>
      <xdr:rowOff>219074</xdr:rowOff>
    </xdr:from>
    <xdr:to>
      <xdr:col>2</xdr:col>
      <xdr:colOff>978408</xdr:colOff>
      <xdr:row>114</xdr:row>
      <xdr:rowOff>9524</xdr:rowOff>
    </xdr:to>
    <xdr:sp macro="[0]!NotchedRightArrow6_Click" textlink="">
      <xdr:nvSpPr>
        <xdr:cNvPr id="7" name="Notched Right Arrow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2352675" y="4981574"/>
          <a:ext cx="883158" cy="504825"/>
        </a:xfrm>
        <a:prstGeom prst="notchedRigh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800">
              <a:solidFill>
                <a:schemeClr val="bg1"/>
              </a:solidFill>
            </a:rPr>
            <a:t>calculation x,y</a:t>
          </a:r>
        </a:p>
      </xdr:txBody>
    </xdr:sp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500-000000000000}">
  <dimension ref="A1"/>
  <sheetViews>
    <sheetView showFormulas="1" workbookViewId="0"/>
  </sheetViews>
  <sheetFormatPr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googl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A1:CX106"/>
  <sheetViews>
    <sheetView workbookViewId="0">
      <selection activeCell="F8" sqref="F8"/>
    </sheetView>
  </sheetViews>
  <sheetFormatPr defaultColWidth="9.140625" defaultRowHeight="12" x14ac:dyDescent="0.2"/>
  <cols>
    <col min="1" max="1" width="22" style="208" customWidth="1"/>
    <col min="2" max="2" width="10.140625" style="208" customWidth="1"/>
    <col min="3" max="5" width="15.42578125" style="208" customWidth="1"/>
    <col min="6" max="11" width="10.140625" style="208" customWidth="1"/>
    <col min="12" max="16384" width="9.140625" style="208"/>
  </cols>
  <sheetData>
    <row r="1" spans="1:13" x14ac:dyDescent="0.2">
      <c r="G1" s="223"/>
      <c r="H1" s="224"/>
      <c r="I1" s="224"/>
      <c r="J1" s="224"/>
      <c r="K1" s="225"/>
      <c r="L1" s="225"/>
    </row>
    <row r="2" spans="1:13" ht="12.75" thickBot="1" x14ac:dyDescent="0.25">
      <c r="G2" s="223"/>
      <c r="H2" s="224"/>
      <c r="I2" s="224"/>
      <c r="J2" s="224"/>
      <c r="K2" s="225"/>
      <c r="L2" s="225"/>
    </row>
    <row r="3" spans="1:13" ht="12.75" thickBot="1" x14ac:dyDescent="0.25">
      <c r="A3" s="226" t="s">
        <v>21</v>
      </c>
      <c r="B3" s="227">
        <v>600</v>
      </c>
      <c r="C3" s="228" t="s">
        <v>24</v>
      </c>
      <c r="D3" s="229">
        <v>1000</v>
      </c>
      <c r="F3" s="406" t="s">
        <v>300</v>
      </c>
      <c r="G3" s="407"/>
      <c r="H3" s="407"/>
      <c r="I3" s="408"/>
      <c r="J3" s="224"/>
      <c r="K3" s="225"/>
      <c r="L3" s="225"/>
    </row>
    <row r="4" spans="1:13" x14ac:dyDescent="0.2">
      <c r="A4" s="209" t="s">
        <v>22</v>
      </c>
      <c r="B4" s="230">
        <v>300</v>
      </c>
      <c r="C4" s="231"/>
      <c r="D4" s="232"/>
      <c r="E4" s="233"/>
      <c r="F4" s="234"/>
      <c r="G4" s="235"/>
      <c r="H4" s="236"/>
      <c r="I4" s="236"/>
      <c r="J4" s="236"/>
      <c r="K4" s="225"/>
      <c r="L4" s="237"/>
    </row>
    <row r="5" spans="1:13" x14ac:dyDescent="0.2">
      <c r="A5" s="226" t="s">
        <v>23</v>
      </c>
      <c r="B5" s="238">
        <v>150</v>
      </c>
      <c r="C5" s="226" t="s">
        <v>25</v>
      </c>
      <c r="D5" s="239">
        <f>DEGREES(ATAN((D13-D8)/(C13-C8)))</f>
        <v>84.683219095026814</v>
      </c>
      <c r="E5" s="233"/>
      <c r="F5" s="240"/>
      <c r="H5" s="241"/>
      <c r="I5" s="241"/>
      <c r="J5" s="241"/>
      <c r="K5" s="241"/>
      <c r="L5" s="242"/>
    </row>
    <row r="6" spans="1:13" x14ac:dyDescent="0.2">
      <c r="C6" s="243" t="s">
        <v>26</v>
      </c>
      <c r="D6" s="243" t="s">
        <v>27</v>
      </c>
    </row>
    <row r="7" spans="1:13" x14ac:dyDescent="0.2">
      <c r="A7" s="244"/>
      <c r="B7" s="244" t="s">
        <v>0</v>
      </c>
      <c r="C7" s="244" t="s">
        <v>7</v>
      </c>
      <c r="D7" s="244" t="s">
        <v>8</v>
      </c>
      <c r="E7" s="244" t="s">
        <v>9</v>
      </c>
      <c r="F7" s="244" t="s">
        <v>10</v>
      </c>
      <c r="G7" s="244" t="s">
        <v>11</v>
      </c>
      <c r="H7" s="244" t="s">
        <v>12</v>
      </c>
      <c r="I7" s="244" t="s">
        <v>13</v>
      </c>
      <c r="J7" s="244" t="s">
        <v>14</v>
      </c>
      <c r="K7" s="244" t="s">
        <v>15</v>
      </c>
      <c r="M7" s="245"/>
    </row>
    <row r="8" spans="1:13" x14ac:dyDescent="0.2">
      <c r="A8" s="244" t="s">
        <v>6</v>
      </c>
      <c r="B8" s="246">
        <v>0</v>
      </c>
      <c r="C8" s="247">
        <v>26890</v>
      </c>
      <c r="D8" s="247">
        <v>76320</v>
      </c>
      <c r="E8" s="247">
        <v>30</v>
      </c>
      <c r="F8" s="247">
        <v>0</v>
      </c>
      <c r="G8" s="247">
        <v>0</v>
      </c>
      <c r="H8" s="247">
        <v>0</v>
      </c>
      <c r="I8" s="248">
        <v>0</v>
      </c>
      <c r="J8" s="248">
        <v>0</v>
      </c>
      <c r="K8" s="248">
        <v>0</v>
      </c>
    </row>
    <row r="9" spans="1:13" x14ac:dyDescent="0.2">
      <c r="A9" s="249" t="s">
        <v>1</v>
      </c>
      <c r="B9" s="250">
        <v>1</v>
      </c>
      <c r="C9" s="5">
        <f>C8</f>
        <v>26890</v>
      </c>
      <c r="D9" s="5">
        <f>D8</f>
        <v>76320</v>
      </c>
      <c r="E9" s="5">
        <f>E8-B3</f>
        <v>-570</v>
      </c>
      <c r="F9" s="251">
        <v>600</v>
      </c>
      <c r="G9" s="251">
        <v>0</v>
      </c>
      <c r="H9" s="251">
        <v>600</v>
      </c>
      <c r="I9" s="251">
        <v>0</v>
      </c>
      <c r="J9" s="252">
        <v>3.8</v>
      </c>
      <c r="K9" s="375">
        <f>(180*100/(3.14159*J9*3.28))</f>
        <v>459.69053200254956</v>
      </c>
    </row>
    <row r="10" spans="1:13" x14ac:dyDescent="0.2">
      <c r="A10" s="244" t="s">
        <v>2</v>
      </c>
      <c r="B10" s="246">
        <v>2</v>
      </c>
      <c r="C10" s="5">
        <f>C9+(COS(RADIANS(D5))*(G10-G9))</f>
        <v>26898.232923062526</v>
      </c>
      <c r="D10" s="5">
        <f>D9+(SIN(RADIANS(D5))*(G10-G9))</f>
        <v>76408.466500544571</v>
      </c>
      <c r="E10" s="5">
        <f>E9+(F9-F10)</f>
        <v>-841.64640215133204</v>
      </c>
      <c r="F10" s="5">
        <f>F9+K9*SIN(RADIANS(I10))</f>
        <v>871.64640215133204</v>
      </c>
      <c r="G10" s="5">
        <f>K9*(1-COS(RADIANS(I10)))</f>
        <v>88.848763304599572</v>
      </c>
      <c r="H10" s="5">
        <f>H9+(K9*RADIANS(I10))</f>
        <v>890.62331741223511</v>
      </c>
      <c r="I10" s="378">
        <f>180-(DEGREES((ATAN((F13-F9)/(G13-K9-K11)))))-(DEGREES(ACOS((((K9+K11)/(F13-F9))*SIN((ATAN((F13-F9)/(G13-K9-K11))))))))</f>
        <v>36.223259685756609</v>
      </c>
      <c r="J10" s="248">
        <v>0</v>
      </c>
      <c r="K10" s="248">
        <v>0</v>
      </c>
    </row>
    <row r="11" spans="1:13" x14ac:dyDescent="0.2">
      <c r="A11" s="249" t="s">
        <v>3</v>
      </c>
      <c r="B11" s="250">
        <v>3</v>
      </c>
      <c r="C11" s="5">
        <f>C10+(COS(RADIANS(D5))*(G11-G10))</f>
        <v>26988.826747272291</v>
      </c>
      <c r="D11" s="5">
        <f>D10+(SIN(RADIANS(D5))*(G11-G10))</f>
        <v>77381.9383206895</v>
      </c>
      <c r="E11" s="5">
        <f>E10+(F10-F11)</f>
        <v>-2176.3370256517637</v>
      </c>
      <c r="F11" s="5">
        <f>F10+(G11-G10)/TAN(RADIANS(I10))</f>
        <v>2206.3370256517637</v>
      </c>
      <c r="G11" s="5">
        <f>G13-K11*(1-COS(RADIANS(I10)))</f>
        <v>1066.5269443034558</v>
      </c>
      <c r="H11" s="5">
        <f>H10+((G12-(K11*(1-COS(RADIANS(I10))))-G10))/SIN(RADIANS(I10))</f>
        <v>2545.0880907033452</v>
      </c>
      <c r="I11" s="5">
        <f>I10</f>
        <v>36.223259685756609</v>
      </c>
      <c r="J11" s="252">
        <v>-2.8</v>
      </c>
      <c r="K11" s="375">
        <f>(-180*100/(3.14159*J11*3.28))</f>
        <v>623.86572200346029</v>
      </c>
    </row>
    <row r="12" spans="1:13" x14ac:dyDescent="0.2">
      <c r="A12" s="244" t="s">
        <v>4</v>
      </c>
      <c r="B12" s="246">
        <v>4</v>
      </c>
      <c r="C12" s="376">
        <f>C13</f>
        <v>27000</v>
      </c>
      <c r="D12" s="376">
        <f>D13</f>
        <v>77502</v>
      </c>
      <c r="E12" s="376">
        <f>E11+(F11-F12)</f>
        <v>-2545</v>
      </c>
      <c r="F12" s="5">
        <f>F13</f>
        <v>2575</v>
      </c>
      <c r="G12" s="5">
        <f>G13</f>
        <v>1187.1074087882696</v>
      </c>
      <c r="H12" s="5">
        <f>H11+(K11*RADIANS(I10))</f>
        <v>2939.5054500485217</v>
      </c>
      <c r="I12" s="248">
        <v>0</v>
      </c>
      <c r="J12" s="248">
        <v>0</v>
      </c>
      <c r="K12" s="248">
        <v>0</v>
      </c>
    </row>
    <row r="13" spans="1:13" x14ac:dyDescent="0.2">
      <c r="A13" s="249" t="s">
        <v>5</v>
      </c>
      <c r="B13" s="250">
        <v>5</v>
      </c>
      <c r="C13" s="252">
        <v>27000</v>
      </c>
      <c r="D13" s="252">
        <v>77502</v>
      </c>
      <c r="E13" s="376">
        <v>-2545</v>
      </c>
      <c r="F13" s="5">
        <f>((E13)*(-1))+E8</f>
        <v>2575</v>
      </c>
      <c r="G13" s="5">
        <f>(((C13-C8)^2)+((D13-D8)^2))^(0.5)</f>
        <v>1187.1074087882696</v>
      </c>
      <c r="H13" s="5">
        <f>H12</f>
        <v>2939.5054500485217</v>
      </c>
      <c r="I13" s="251">
        <v>0</v>
      </c>
      <c r="J13" s="251">
        <v>0</v>
      </c>
      <c r="K13" s="251">
        <v>0</v>
      </c>
    </row>
    <row r="14" spans="1:13" x14ac:dyDescent="0.2">
      <c r="A14" s="244" t="s">
        <v>16</v>
      </c>
      <c r="B14" s="246">
        <v>6</v>
      </c>
      <c r="C14" s="5">
        <f>C13</f>
        <v>27000</v>
      </c>
      <c r="D14" s="5">
        <f>D13</f>
        <v>77502</v>
      </c>
      <c r="E14" s="5">
        <f>E13+(F13-F14)</f>
        <v>-2845</v>
      </c>
      <c r="F14" s="5">
        <f>F13+300</f>
        <v>2875</v>
      </c>
      <c r="G14" s="5">
        <f>G13</f>
        <v>1187.1074087882696</v>
      </c>
      <c r="H14" s="5">
        <f>H13+300</f>
        <v>3239.5054500485217</v>
      </c>
      <c r="I14" s="255">
        <v>0</v>
      </c>
      <c r="J14" s="247">
        <v>8</v>
      </c>
      <c r="K14" s="375">
        <f>(180*100/(3.14159*J14*3.28))</f>
        <v>218.35300270121104</v>
      </c>
    </row>
    <row r="15" spans="1:13" x14ac:dyDescent="0.2">
      <c r="A15" s="249" t="s">
        <v>17</v>
      </c>
      <c r="B15" s="250">
        <v>7</v>
      </c>
      <c r="C15" s="5">
        <f>C14+(COS(RADIANS(D5))*(G15-G14))</f>
        <v>27004.733639750029</v>
      </c>
      <c r="D15" s="5">
        <f>D14+(SIN(RADIANS(D5))*(G15-G14))</f>
        <v>77552.865110768515</v>
      </c>
      <c r="E15" s="5">
        <f>E14+(F14-F15)</f>
        <v>-2985.3546046741899</v>
      </c>
      <c r="F15" s="5">
        <f>F14+(K14*SIN(RADIANS(I15)))</f>
        <v>3015.3546046741899</v>
      </c>
      <c r="G15" s="5">
        <f>G14+(K14*(1-COS(RADIANS(I15))))</f>
        <v>1238.1923071318747</v>
      </c>
      <c r="H15" s="5">
        <f>H14+(K14*RADIANS(I15))</f>
        <v>3391.9446031986099</v>
      </c>
      <c r="I15" s="252">
        <v>40</v>
      </c>
      <c r="J15" s="251">
        <v>0</v>
      </c>
      <c r="K15" s="251">
        <v>0</v>
      </c>
    </row>
    <row r="16" spans="1:13" x14ac:dyDescent="0.2">
      <c r="A16" s="244" t="s">
        <v>18</v>
      </c>
      <c r="B16" s="246">
        <v>8</v>
      </c>
      <c r="C16" s="5">
        <f>C15+(COS(RADIANS(D5))*(G16-G15))</f>
        <v>27016.396564108793</v>
      </c>
      <c r="D16" s="5">
        <f>D15+(SIN(RADIANS(D5))*(G16-G15))</f>
        <v>77678.188534332687</v>
      </c>
      <c r="E16" s="5">
        <f>E15+(F15-F16)</f>
        <v>-3135.3546046741899</v>
      </c>
      <c r="F16" s="5">
        <f>F15+B5</f>
        <v>3165.3546046741899</v>
      </c>
      <c r="G16" s="5">
        <f>G15+(B5*TAN(RADIANS(I15)))</f>
        <v>1364.0572518084666</v>
      </c>
      <c r="H16" s="5">
        <f>H15+(B5/COS(RADIANS(I15)))</f>
        <v>3587.7556965984518</v>
      </c>
      <c r="I16" s="248">
        <v>40</v>
      </c>
      <c r="J16" s="247">
        <v>10</v>
      </c>
      <c r="K16" s="375">
        <f>(180*100/(3.14159*J16*3.28))</f>
        <v>174.68240216096882</v>
      </c>
    </row>
    <row r="17" spans="1:11" x14ac:dyDescent="0.2">
      <c r="A17" s="249" t="s">
        <v>19</v>
      </c>
      <c r="B17" s="250">
        <v>9</v>
      </c>
      <c r="C17" s="5">
        <f>C16+(COS(RADIANS(D5))*(G17-G16))</f>
        <v>27028.796110328873</v>
      </c>
      <c r="D17" s="5">
        <f>D16+(SIN(RADIANS(D5))*(G17-G16))</f>
        <v>77811.427294624824</v>
      </c>
      <c r="E17" s="5">
        <f>E16+(F16-F17)</f>
        <v>-3197.753323095807</v>
      </c>
      <c r="F17" s="5">
        <f>F16+K16*(1-COS(RADIANS(I17-I16)))</f>
        <v>3227.753323095807</v>
      </c>
      <c r="G17" s="5">
        <f>G16+(K16*SIN(RADIANS(90-I15)))</f>
        <v>1497.8717352945514</v>
      </c>
      <c r="H17" s="5">
        <f>H16+(K16*RADIANS(90-I15))</f>
        <v>3740.19484974854</v>
      </c>
      <c r="I17" s="252">
        <v>90</v>
      </c>
      <c r="J17" s="251">
        <v>0</v>
      </c>
      <c r="K17" s="257">
        <v>0</v>
      </c>
    </row>
    <row r="18" spans="1:11" x14ac:dyDescent="0.2">
      <c r="A18" s="258" t="s">
        <v>20</v>
      </c>
      <c r="B18" s="259">
        <v>10</v>
      </c>
      <c r="C18" s="5">
        <f>C17+(COS(RADIANS(D5))*(G18-G17))</f>
        <v>27121.458323693612</v>
      </c>
      <c r="D18" s="5">
        <f>D17+(SIN(RADIANS(D5))*(G18-G17))</f>
        <v>78807.124896416834</v>
      </c>
      <c r="E18" s="5">
        <f>E17+(F17-F18)</f>
        <v>-3197.753323095807</v>
      </c>
      <c r="F18" s="377">
        <f>F17</f>
        <v>3227.753323095807</v>
      </c>
      <c r="G18" s="377">
        <f>G17+1000</f>
        <v>2497.8717352945514</v>
      </c>
      <c r="H18" s="377">
        <f>H17+D3</f>
        <v>4740.19484974854</v>
      </c>
      <c r="I18" s="260">
        <v>90</v>
      </c>
      <c r="J18" s="260">
        <v>0</v>
      </c>
      <c r="K18" s="260">
        <v>0</v>
      </c>
    </row>
    <row r="19" spans="1:11" x14ac:dyDescent="0.2">
      <c r="A19" s="261"/>
      <c r="B19" s="262"/>
      <c r="C19" s="263"/>
      <c r="D19" s="263"/>
      <c r="E19" s="263"/>
      <c r="F19" s="263"/>
      <c r="G19" s="263"/>
      <c r="H19" s="263"/>
      <c r="I19" s="263"/>
      <c r="J19" s="263"/>
      <c r="K19" s="263"/>
    </row>
    <row r="21" spans="1:11" x14ac:dyDescent="0.2">
      <c r="B21" s="264">
        <f>G8</f>
        <v>0</v>
      </c>
      <c r="C21" s="264">
        <f>F8</f>
        <v>0</v>
      </c>
      <c r="D21" s="264"/>
    </row>
    <row r="22" spans="1:11" x14ac:dyDescent="0.2">
      <c r="C22" s="264">
        <f t="shared" ref="C22:C32" si="0">G8</f>
        <v>0</v>
      </c>
      <c r="D22" s="264">
        <f t="shared" ref="D22:D32" si="1">-F8</f>
        <v>0</v>
      </c>
      <c r="F22" s="245"/>
      <c r="I22" s="245"/>
    </row>
    <row r="23" spans="1:11" x14ac:dyDescent="0.2">
      <c r="C23" s="264">
        <f t="shared" si="0"/>
        <v>0</v>
      </c>
      <c r="D23" s="264">
        <f t="shared" si="1"/>
        <v>-600</v>
      </c>
      <c r="E23" s="245"/>
      <c r="F23" s="245"/>
      <c r="G23" s="245"/>
      <c r="H23" s="245"/>
      <c r="I23" s="245"/>
      <c r="J23" s="245"/>
    </row>
    <row r="24" spans="1:11" x14ac:dyDescent="0.2">
      <c r="C24" s="264">
        <f t="shared" si="0"/>
        <v>88.848763304599572</v>
      </c>
      <c r="D24" s="264">
        <f t="shared" si="1"/>
        <v>-871.64640215133204</v>
      </c>
      <c r="E24" s="245"/>
      <c r="F24" s="245"/>
      <c r="G24" s="245"/>
      <c r="H24" s="245"/>
      <c r="I24" s="245"/>
      <c r="J24" s="245"/>
    </row>
    <row r="25" spans="1:11" x14ac:dyDescent="0.2">
      <c r="C25" s="264">
        <f t="shared" si="0"/>
        <v>1066.5269443034558</v>
      </c>
      <c r="D25" s="264">
        <f t="shared" si="1"/>
        <v>-2206.3370256517637</v>
      </c>
      <c r="J25" s="245"/>
    </row>
    <row r="26" spans="1:11" x14ac:dyDescent="0.2">
      <c r="C26" s="264">
        <f t="shared" si="0"/>
        <v>1187.1074087882696</v>
      </c>
      <c r="D26" s="264">
        <f t="shared" si="1"/>
        <v>-2575</v>
      </c>
      <c r="G26" s="245"/>
    </row>
    <row r="27" spans="1:11" x14ac:dyDescent="0.2">
      <c r="C27" s="264">
        <f t="shared" si="0"/>
        <v>1187.1074087882696</v>
      </c>
      <c r="D27" s="264">
        <f t="shared" si="1"/>
        <v>-2575</v>
      </c>
    </row>
    <row r="28" spans="1:11" x14ac:dyDescent="0.2">
      <c r="C28" s="264">
        <f t="shared" si="0"/>
        <v>1187.1074087882696</v>
      </c>
      <c r="D28" s="264">
        <f t="shared" si="1"/>
        <v>-2875</v>
      </c>
    </row>
    <row r="29" spans="1:11" x14ac:dyDescent="0.2">
      <c r="C29" s="264">
        <f t="shared" si="0"/>
        <v>1238.1923071318747</v>
      </c>
      <c r="D29" s="264">
        <f t="shared" si="1"/>
        <v>-3015.3546046741899</v>
      </c>
    </row>
    <row r="30" spans="1:11" x14ac:dyDescent="0.2">
      <c r="C30" s="264">
        <f t="shared" si="0"/>
        <v>1364.0572518084666</v>
      </c>
      <c r="D30" s="264">
        <f t="shared" si="1"/>
        <v>-3165.3546046741899</v>
      </c>
    </row>
    <row r="31" spans="1:11" x14ac:dyDescent="0.2">
      <c r="C31" s="264">
        <f t="shared" si="0"/>
        <v>1497.8717352945514</v>
      </c>
      <c r="D31" s="264">
        <f t="shared" si="1"/>
        <v>-3227.753323095807</v>
      </c>
    </row>
    <row r="32" spans="1:11" x14ac:dyDescent="0.2">
      <c r="C32" s="264">
        <f t="shared" si="0"/>
        <v>2497.8717352945514</v>
      </c>
      <c r="D32" s="264">
        <f t="shared" si="1"/>
        <v>-3227.753323095807</v>
      </c>
    </row>
    <row r="33" spans="3:13" x14ac:dyDescent="0.2">
      <c r="C33" s="245"/>
    </row>
    <row r="48" spans="3:13" x14ac:dyDescent="0.2">
      <c r="M48" s="245"/>
    </row>
    <row r="49" spans="1:11" ht="12.75" thickBot="1" x14ac:dyDescent="0.25"/>
    <row r="50" spans="1:11" ht="12.75" thickBot="1" x14ac:dyDescent="0.25">
      <c r="A50" s="226" t="s">
        <v>21</v>
      </c>
      <c r="B50" s="227">
        <v>600</v>
      </c>
      <c r="C50" s="228" t="s">
        <v>24</v>
      </c>
      <c r="D50" s="229">
        <v>1000</v>
      </c>
      <c r="F50" s="406" t="s">
        <v>301</v>
      </c>
      <c r="G50" s="407"/>
      <c r="H50" s="407"/>
      <c r="I50" s="408"/>
      <c r="J50" s="224"/>
      <c r="K50" s="225"/>
    </row>
    <row r="51" spans="1:11" x14ac:dyDescent="0.2">
      <c r="A51" s="209" t="s">
        <v>22</v>
      </c>
      <c r="B51" s="230">
        <v>300</v>
      </c>
      <c r="C51" s="231"/>
      <c r="D51" s="232"/>
      <c r="E51" s="233"/>
      <c r="F51" s="234"/>
      <c r="G51" s="235"/>
      <c r="H51" s="236"/>
      <c r="I51" s="236"/>
      <c r="J51" s="236"/>
      <c r="K51" s="225"/>
    </row>
    <row r="52" spans="1:11" x14ac:dyDescent="0.2">
      <c r="A52" s="226" t="s">
        <v>23</v>
      </c>
      <c r="B52" s="238">
        <v>150</v>
      </c>
      <c r="C52" s="226" t="s">
        <v>25</v>
      </c>
      <c r="D52" s="239">
        <f>DEGREES(ATAN((D60-D55)/(C60-C55)))</f>
        <v>84.683219095026928</v>
      </c>
      <c r="E52" s="233"/>
      <c r="F52" s="240"/>
      <c r="H52" s="241"/>
      <c r="I52" s="241"/>
      <c r="J52" s="241"/>
      <c r="K52" s="241"/>
    </row>
    <row r="53" spans="1:11" x14ac:dyDescent="0.2">
      <c r="C53" s="243" t="s">
        <v>26</v>
      </c>
      <c r="D53" s="243" t="s">
        <v>27</v>
      </c>
    </row>
    <row r="54" spans="1:11" x14ac:dyDescent="0.2">
      <c r="A54" s="244"/>
      <c r="B54" s="244" t="s">
        <v>0</v>
      </c>
      <c r="C54" s="244" t="s">
        <v>7</v>
      </c>
      <c r="D54" s="244" t="s">
        <v>8</v>
      </c>
      <c r="E54" s="244" t="s">
        <v>9</v>
      </c>
      <c r="F54" s="244" t="s">
        <v>10</v>
      </c>
      <c r="G54" s="244" t="s">
        <v>11</v>
      </c>
      <c r="H54" s="244" t="s">
        <v>12</v>
      </c>
      <c r="I54" s="244" t="s">
        <v>13</v>
      </c>
      <c r="J54" s="244" t="s">
        <v>14</v>
      </c>
      <c r="K54" s="244" t="s">
        <v>15</v>
      </c>
    </row>
    <row r="55" spans="1:11" x14ac:dyDescent="0.2">
      <c r="A55" s="244" t="s">
        <v>6</v>
      </c>
      <c r="B55" s="246">
        <v>0</v>
      </c>
      <c r="C55" s="247">
        <f>26890/0.3085</f>
        <v>87163.695299837927</v>
      </c>
      <c r="D55" s="247">
        <f>76320/0.3085</f>
        <v>247390.59967585088</v>
      </c>
      <c r="E55" s="247">
        <f>30/0.3085</f>
        <v>97.244732576985413</v>
      </c>
      <c r="F55" s="247">
        <v>0</v>
      </c>
      <c r="G55" s="247">
        <v>0</v>
      </c>
      <c r="H55" s="247">
        <v>0</v>
      </c>
      <c r="I55" s="248">
        <v>0</v>
      </c>
      <c r="J55" s="248">
        <v>0</v>
      </c>
      <c r="K55" s="248">
        <v>0</v>
      </c>
    </row>
    <row r="56" spans="1:11" x14ac:dyDescent="0.2">
      <c r="A56" s="249" t="s">
        <v>1</v>
      </c>
      <c r="B56" s="250">
        <v>1</v>
      </c>
      <c r="C56" s="251">
        <f>C55/0.3085</f>
        <v>282540.34132848599</v>
      </c>
      <c r="D56" s="251">
        <f>D55/0.3085</f>
        <v>801914.4235846058</v>
      </c>
      <c r="E56" s="251">
        <f>(E55-B50)/0.3085</f>
        <v>-1629.676717740728</v>
      </c>
      <c r="F56" s="251">
        <f>600/0.3085</f>
        <v>1944.8946515397083</v>
      </c>
      <c r="G56" s="251">
        <v>0</v>
      </c>
      <c r="H56" s="251">
        <f>600/0.3085</f>
        <v>1944.8946515397083</v>
      </c>
      <c r="I56" s="251">
        <v>0</v>
      </c>
      <c r="J56" s="252">
        <v>3.8</v>
      </c>
      <c r="K56" s="253">
        <f>((180*100/(3.14159*J56*3.28)))/0.3085</f>
        <v>1490.0827617586697</v>
      </c>
    </row>
    <row r="57" spans="1:11" x14ac:dyDescent="0.2">
      <c r="A57" s="244" t="s">
        <v>2</v>
      </c>
      <c r="B57" s="246">
        <v>2</v>
      </c>
      <c r="C57" s="248">
        <f>C56+(COS(RADIANS(D52))*(G57-G56))</f>
        <v>282567.02827520407</v>
      </c>
      <c r="D57" s="248">
        <f>D56+(SIN(RADIANS(D52))*(G57-G56))</f>
        <v>802201.18695752171</v>
      </c>
      <c r="E57" s="248">
        <f>E56+(F56-F57)</f>
        <v>-2510.2161088309449</v>
      </c>
      <c r="F57" s="248">
        <f>F56+K56*SIN(RADIANS(I57))</f>
        <v>2825.4340426299254</v>
      </c>
      <c r="G57" s="248">
        <f>K56*(1-COS(RADIANS(I57)))</f>
        <v>288.0024742450554</v>
      </c>
      <c r="H57" s="248">
        <f>H56+(K56*RADIANS(I57))</f>
        <v>2886.9475442860135</v>
      </c>
      <c r="I57" s="254">
        <f>180-(DEGREES((ATAN((F60-F56)/(G60-K56-K58)))))-(DEGREES(ACOS((((K56+K58)/(F60-F56))*SIN((ATAN((F60-F56)/(G60-K56-K58))))))))</f>
        <v>36.223259685756609</v>
      </c>
      <c r="J57" s="248">
        <v>0</v>
      </c>
      <c r="K57" s="248">
        <v>0</v>
      </c>
    </row>
    <row r="58" spans="1:11" x14ac:dyDescent="0.2">
      <c r="A58" s="249" t="s">
        <v>3</v>
      </c>
      <c r="B58" s="250">
        <v>3</v>
      </c>
      <c r="C58" s="251">
        <f>C57+(COS(RADIANS(D52))*(G58-G57))</f>
        <v>282860.68734881753</v>
      </c>
      <c r="D58" s="251">
        <f>D57+(SIN(RADIANS(D52))*(G58-G57))</f>
        <v>805356.68718489585</v>
      </c>
      <c r="E58" s="251">
        <f>E57+(F57-F58)</f>
        <v>-6836.6038673412577</v>
      </c>
      <c r="F58" s="251">
        <f>F57+(G58-G57)/TAN(RADIANS(I57))</f>
        <v>7151.8218011402387</v>
      </c>
      <c r="G58" s="251">
        <f>G60-K58*(1-COS(RADIANS(I57)))</f>
        <v>3457.1375828312985</v>
      </c>
      <c r="H58" s="251">
        <f>H57+((G59-(K58*(1-COS(RADIANS(I57))))-G57))/SIN(RADIANS(I57))</f>
        <v>8249.8803588439041</v>
      </c>
      <c r="I58" s="251">
        <f>I57</f>
        <v>36.223259685756609</v>
      </c>
      <c r="J58" s="252">
        <v>-2.8</v>
      </c>
      <c r="K58" s="253">
        <f>((-180*100/(3.14159*J58*3.28)))/0.3085</f>
        <v>2022.2551766724807</v>
      </c>
    </row>
    <row r="59" spans="1:11" x14ac:dyDescent="0.2">
      <c r="A59" s="244" t="s">
        <v>4</v>
      </c>
      <c r="B59" s="246">
        <v>4</v>
      </c>
      <c r="C59" s="247">
        <f>C60</f>
        <v>87520.259319286866</v>
      </c>
      <c r="D59" s="247">
        <f>D60</f>
        <v>251222.04213938411</v>
      </c>
      <c r="E59" s="247">
        <f>E58+(F58-F59)</f>
        <v>-8031.6216123922686</v>
      </c>
      <c r="F59" s="248">
        <f>F60</f>
        <v>8346.8395461912496</v>
      </c>
      <c r="G59" s="248">
        <f>G60</f>
        <v>3847.9980835924453</v>
      </c>
      <c r="H59" s="248">
        <f>H58+(K58*RADIANS(I57))</f>
        <v>9528.3807132853181</v>
      </c>
      <c r="I59" s="248">
        <v>0</v>
      </c>
      <c r="J59" s="248">
        <v>0</v>
      </c>
      <c r="K59" s="248">
        <v>0</v>
      </c>
    </row>
    <row r="60" spans="1:11" x14ac:dyDescent="0.2">
      <c r="A60" s="249" t="s">
        <v>5</v>
      </c>
      <c r="B60" s="250">
        <v>5</v>
      </c>
      <c r="C60" s="252">
        <f>27000/0.3085</f>
        <v>87520.259319286866</v>
      </c>
      <c r="D60" s="252">
        <f>77502/0.3085</f>
        <v>251222.04213938411</v>
      </c>
      <c r="E60" s="252">
        <f>-2545/0.3085</f>
        <v>-8249.5948136142633</v>
      </c>
      <c r="F60" s="251">
        <f>((E60)*(-1))+E55</f>
        <v>8346.8395461912496</v>
      </c>
      <c r="G60" s="251">
        <f>(((C60-C55)^2)+((D60-D55)^2))^(0.5)</f>
        <v>3847.9980835924453</v>
      </c>
      <c r="H60" s="251">
        <f>H59</f>
        <v>9528.3807132853181</v>
      </c>
      <c r="I60" s="251">
        <v>0</v>
      </c>
      <c r="J60" s="251">
        <v>0</v>
      </c>
      <c r="K60" s="251">
        <v>0</v>
      </c>
    </row>
    <row r="61" spans="1:11" x14ac:dyDescent="0.2">
      <c r="A61" s="244" t="s">
        <v>16</v>
      </c>
      <c r="B61" s="246">
        <v>6</v>
      </c>
      <c r="C61" s="248">
        <f>C60</f>
        <v>87520.259319286866</v>
      </c>
      <c r="D61" s="248">
        <f>D60</f>
        <v>251222.04213938411</v>
      </c>
      <c r="E61" s="248">
        <f>E60+(F60-F61)</f>
        <v>-9222.042139384117</v>
      </c>
      <c r="F61" s="248">
        <f>F60+300/0.3085</f>
        <v>9319.2868719611033</v>
      </c>
      <c r="G61" s="248">
        <f>G60</f>
        <v>3847.9980835924453</v>
      </c>
      <c r="H61" s="248">
        <f>H60+300</f>
        <v>9828.3807132853181</v>
      </c>
      <c r="I61" s="255">
        <v>0</v>
      </c>
      <c r="J61" s="247">
        <v>8</v>
      </c>
      <c r="K61" s="256">
        <f>((180*100/(3.14159*J61*3.28)))/0.3085</f>
        <v>707.78931183536804</v>
      </c>
    </row>
    <row r="62" spans="1:11" x14ac:dyDescent="0.2">
      <c r="A62" s="249" t="s">
        <v>17</v>
      </c>
      <c r="B62" s="250">
        <v>7</v>
      </c>
      <c r="C62" s="251">
        <f>C61+(COS(RADIANS(D52))*(G62-G61))</f>
        <v>87535.603370340454</v>
      </c>
      <c r="D62" s="251">
        <f>D61+(SIN(RADIANS(D52))*(G62-G61))</f>
        <v>251386.92094252355</v>
      </c>
      <c r="E62" s="251">
        <f>E61+(F61-F62)</f>
        <v>-9677.0003393004536</v>
      </c>
      <c r="F62" s="251">
        <f>F61+(K61*SIN(RADIANS(I62)))</f>
        <v>9774.2450718774398</v>
      </c>
      <c r="G62" s="251">
        <f>G61+(K61*(1-COS(RADIANS(I62))))</f>
        <v>4013.5893261973242</v>
      </c>
      <c r="H62" s="251">
        <f>H61+(K61*RADIANS(I62))</f>
        <v>10322.510869363399</v>
      </c>
      <c r="I62" s="252">
        <v>40</v>
      </c>
      <c r="J62" s="251">
        <v>0</v>
      </c>
      <c r="K62" s="251">
        <v>0</v>
      </c>
    </row>
    <row r="63" spans="1:11" x14ac:dyDescent="0.2">
      <c r="A63" s="244" t="s">
        <v>18</v>
      </c>
      <c r="B63" s="246">
        <v>8</v>
      </c>
      <c r="C63" s="248">
        <f>C62+(COS(RADIANS(D52))*(G63-G62))</f>
        <v>87547.26629469922</v>
      </c>
      <c r="D63" s="248">
        <f>D62+(SIN(RADIANS(D52))*(G63-G62))</f>
        <v>251512.24436608772</v>
      </c>
      <c r="E63" s="248">
        <f>E62+(F62-F63)</f>
        <v>-9827.0003393004536</v>
      </c>
      <c r="F63" s="248">
        <f>F62+B52</f>
        <v>9924.2450718774398</v>
      </c>
      <c r="G63" s="248">
        <f>G62+(B52*TAN(RADIANS(I62)))</f>
        <v>4139.4542708739164</v>
      </c>
      <c r="H63" s="248">
        <f>H62+(B52/COS(RADIANS(I62)))</f>
        <v>10518.321962763241</v>
      </c>
      <c r="I63" s="248">
        <v>40</v>
      </c>
      <c r="J63" s="247">
        <v>10</v>
      </c>
      <c r="K63" s="256">
        <f>((180*100/(3.14159*J63*3.28)))/0.3085</f>
        <v>566.23144946829439</v>
      </c>
    </row>
    <row r="64" spans="1:11" x14ac:dyDescent="0.2">
      <c r="A64" s="249" t="s">
        <v>19</v>
      </c>
      <c r="B64" s="250">
        <v>9</v>
      </c>
      <c r="C64" s="251">
        <f>C63+(COS(RADIANS(D52))*(G64-G63))</f>
        <v>87587.459313240804</v>
      </c>
      <c r="D64" s="251">
        <f>D63+(SIN(RADIANS(D52))*(G64-G63))</f>
        <v>251944.13661987096</v>
      </c>
      <c r="E64" s="251">
        <f>E63+(F63-F64)</f>
        <v>-10029.265228835678</v>
      </c>
      <c r="F64" s="251">
        <f>F63+K63*(1-COS(RADIANS(I64-I63)))</f>
        <v>10126.509961412665</v>
      </c>
      <c r="G64" s="251">
        <f>G63+(K63*SIN(RADIANS(90-I62)))</f>
        <v>4573.2127262583081</v>
      </c>
      <c r="H64" s="251">
        <f>H63+(K63*RADIANS(90-I62))</f>
        <v>11012.452118841322</v>
      </c>
      <c r="I64" s="252">
        <v>90</v>
      </c>
      <c r="J64" s="251">
        <v>0</v>
      </c>
      <c r="K64" s="257">
        <v>0</v>
      </c>
    </row>
    <row r="65" spans="1:11" x14ac:dyDescent="0.2">
      <c r="A65" s="258" t="s">
        <v>20</v>
      </c>
      <c r="B65" s="259">
        <v>10</v>
      </c>
      <c r="C65" s="248">
        <f>C64+(COS(RADIANS(D52))*(G65-G64))</f>
        <v>87680.121526605537</v>
      </c>
      <c r="D65" s="248">
        <f>D64+(SIN(RADIANS(D52))*(G65-G64))</f>
        <v>252939.83422166295</v>
      </c>
      <c r="E65" s="248">
        <f>E64+(F64-F65)</f>
        <v>-10029.265228835678</v>
      </c>
      <c r="F65" s="260">
        <f>F64</f>
        <v>10126.509961412665</v>
      </c>
      <c r="G65" s="260">
        <f>G64+1000</f>
        <v>5573.2127262583081</v>
      </c>
      <c r="H65" s="260">
        <f>H64+D50</f>
        <v>12012.452118841322</v>
      </c>
      <c r="I65" s="260">
        <v>90</v>
      </c>
      <c r="J65" s="260">
        <v>0</v>
      </c>
      <c r="K65" s="260">
        <v>0</v>
      </c>
    </row>
    <row r="83" spans="1:4" x14ac:dyDescent="0.2">
      <c r="A83" s="245"/>
    </row>
    <row r="91" spans="1:4" x14ac:dyDescent="0.2">
      <c r="B91" s="264">
        <f>G17</f>
        <v>1497.8717352945514</v>
      </c>
      <c r="C91" s="264">
        <f>F17</f>
        <v>3227.753323095807</v>
      </c>
      <c r="D91" s="265">
        <f>C91*(-1)</f>
        <v>-3227.753323095807</v>
      </c>
    </row>
    <row r="92" spans="1:4" x14ac:dyDescent="0.2">
      <c r="B92" s="264">
        <f>G18</f>
        <v>2497.8717352945514</v>
      </c>
      <c r="C92" s="264">
        <f>F18</f>
        <v>3227.753323095807</v>
      </c>
      <c r="D92" s="265">
        <f>C92*(-1)</f>
        <v>-3227.753323095807</v>
      </c>
    </row>
    <row r="93" spans="1:4" x14ac:dyDescent="0.2">
      <c r="B93" s="245"/>
    </row>
    <row r="94" spans="1:4" x14ac:dyDescent="0.2">
      <c r="B94" s="245"/>
    </row>
    <row r="99" spans="1:102" x14ac:dyDescent="0.2">
      <c r="A99" s="264">
        <f t="shared" ref="A99:A106" si="2">F9</f>
        <v>600</v>
      </c>
      <c r="B99" s="265">
        <f t="shared" ref="B99:B106" si="3">A99*(-1)</f>
        <v>-600</v>
      </c>
    </row>
    <row r="100" spans="1:102" x14ac:dyDescent="0.2">
      <c r="A100" s="264">
        <f t="shared" si="2"/>
        <v>871.64640215133204</v>
      </c>
      <c r="B100" s="265">
        <f t="shared" si="3"/>
        <v>-871.64640215133204</v>
      </c>
      <c r="CV100" s="208">
        <v>1</v>
      </c>
      <c r="CW100" s="208">
        <v>1</v>
      </c>
      <c r="CX100" s="208">
        <v>1</v>
      </c>
    </row>
    <row r="101" spans="1:102" x14ac:dyDescent="0.2">
      <c r="A101" s="264">
        <f t="shared" si="2"/>
        <v>2206.3370256517637</v>
      </c>
      <c r="B101" s="265">
        <f t="shared" si="3"/>
        <v>-2206.3370256517637</v>
      </c>
    </row>
    <row r="102" spans="1:102" x14ac:dyDescent="0.2">
      <c r="A102" s="264">
        <f t="shared" si="2"/>
        <v>2575</v>
      </c>
      <c r="B102" s="265">
        <f t="shared" si="3"/>
        <v>-2575</v>
      </c>
    </row>
    <row r="103" spans="1:102" x14ac:dyDescent="0.2">
      <c r="A103" s="264">
        <f t="shared" si="2"/>
        <v>2575</v>
      </c>
      <c r="B103" s="265">
        <f t="shared" si="3"/>
        <v>-2575</v>
      </c>
    </row>
    <row r="104" spans="1:102" x14ac:dyDescent="0.2">
      <c r="A104" s="264">
        <f t="shared" si="2"/>
        <v>2875</v>
      </c>
      <c r="B104" s="265">
        <f t="shared" si="3"/>
        <v>-2875</v>
      </c>
      <c r="C104" s="245"/>
    </row>
    <row r="105" spans="1:102" x14ac:dyDescent="0.2">
      <c r="A105" s="264">
        <f t="shared" si="2"/>
        <v>3015.3546046741899</v>
      </c>
      <c r="B105" s="265">
        <f t="shared" si="3"/>
        <v>-3015.3546046741899</v>
      </c>
    </row>
    <row r="106" spans="1:102" x14ac:dyDescent="0.2">
      <c r="A106" s="264">
        <f t="shared" si="2"/>
        <v>3165.3546046741899</v>
      </c>
      <c r="B106" s="265">
        <f t="shared" si="3"/>
        <v>-3165.3546046741899</v>
      </c>
    </row>
  </sheetData>
  <mergeCells count="2">
    <mergeCell ref="F3:I3"/>
    <mergeCell ref="F50:I50"/>
  </mergeCells>
  <dataValidations xWindow="98" yWindow="297" count="2">
    <dataValidation allowBlank="1" showErrorMessage="1" prompt="Kick of point 1_x000a_" sqref="A56 A9" xr:uid="{00000000-0002-0000-0200-000000000000}"/>
    <dataValidation allowBlank="1" showErrorMessage="1" sqref="A58:A59 A61 A63 A16 A14 A11:A12" xr:uid="{00000000-0002-0000-0200-000001000000}"/>
  </dataValidations>
  <pageMargins left="0.7" right="0.7" top="0.75" bottom="0.75" header="0.3" footer="0.3"/>
  <pageSetup orientation="portrait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theme="2" tint="-0.89999084444715716"/>
  </sheetPr>
  <dimension ref="A1:CX331"/>
  <sheetViews>
    <sheetView zoomScale="90" zoomScaleNormal="90" workbookViewId="0">
      <selection activeCell="E6" sqref="E6"/>
    </sheetView>
  </sheetViews>
  <sheetFormatPr defaultColWidth="9.140625" defaultRowHeight="18.75" customHeight="1" outlineLevelRow="1" x14ac:dyDescent="0.25"/>
  <cols>
    <col min="1" max="1" width="17.42578125" style="1" customWidth="1"/>
    <col min="2" max="2" width="16.42578125" style="1" customWidth="1"/>
    <col min="3" max="3" width="15.5703125" style="1" customWidth="1"/>
    <col min="4" max="4" width="20.28515625" style="1" customWidth="1"/>
    <col min="5" max="5" width="18.140625" style="1" customWidth="1"/>
    <col min="6" max="6" width="21.42578125" style="1" customWidth="1"/>
    <col min="7" max="21" width="19.28515625" style="1" customWidth="1"/>
    <col min="22" max="22" width="19.28515625" style="9" customWidth="1"/>
    <col min="23" max="27" width="19.28515625" style="1" customWidth="1"/>
    <col min="28" max="28" width="19.28515625" style="9" customWidth="1"/>
    <col min="29" max="16384" width="9.140625" style="1"/>
  </cols>
  <sheetData>
    <row r="1" spans="1:40" ht="18.75" customHeight="1" outlineLevel="1" x14ac:dyDescent="0.25">
      <c r="A1" s="12" t="s">
        <v>39</v>
      </c>
      <c r="B1" s="12" t="s">
        <v>38</v>
      </c>
      <c r="C1" s="12" t="s">
        <v>42</v>
      </c>
      <c r="D1" s="12" t="s">
        <v>32</v>
      </c>
      <c r="E1" s="12" t="s">
        <v>33</v>
      </c>
      <c r="F1" s="12" t="s">
        <v>34</v>
      </c>
      <c r="G1" s="12" t="s">
        <v>40</v>
      </c>
      <c r="H1" s="12" t="s">
        <v>41</v>
      </c>
      <c r="I1" s="12" t="s">
        <v>30</v>
      </c>
      <c r="J1" s="12" t="s">
        <v>43</v>
      </c>
      <c r="K1" s="12" t="s">
        <v>60</v>
      </c>
    </row>
    <row r="2" spans="1:40" ht="18.75" customHeight="1" outlineLevel="1" x14ac:dyDescent="0.25">
      <c r="A2" s="12">
        <v>36</v>
      </c>
      <c r="B2" s="12">
        <v>30</v>
      </c>
      <c r="C2" s="2">
        <f>40/0.3048</f>
        <v>131.23359580052494</v>
      </c>
      <c r="D2" s="2">
        <v>1.5</v>
      </c>
      <c r="E2" s="2">
        <v>1.2</v>
      </c>
      <c r="F2" s="2">
        <v>18</v>
      </c>
      <c r="G2" s="2">
        <v>500</v>
      </c>
      <c r="H2" s="2"/>
      <c r="I2" s="2"/>
      <c r="J2" s="2">
        <f>E2*8.3</f>
        <v>9.9600000000000009</v>
      </c>
      <c r="K2" s="2">
        <f t="shared" ref="K2:K9" si="0">0.052*C2*J2</f>
        <v>67.968503937007881</v>
      </c>
    </row>
    <row r="3" spans="1:40" s="14" customFormat="1" ht="18.75" customHeight="1" outlineLevel="1" x14ac:dyDescent="0.25">
      <c r="A3" s="18">
        <v>26</v>
      </c>
      <c r="B3" s="18">
        <v>20</v>
      </c>
      <c r="C3" s="4">
        <f>(('Well Planning(SI)'!F9-'Well Planning(SI)'!F8)/2)/0.3048</f>
        <v>984.25196850393695</v>
      </c>
      <c r="D3" s="13">
        <v>1.57</v>
      </c>
      <c r="E3" s="13">
        <v>1.45</v>
      </c>
      <c r="F3" s="13">
        <v>19</v>
      </c>
      <c r="G3" s="13">
        <v>2800</v>
      </c>
      <c r="H3" s="13">
        <v>0.1</v>
      </c>
      <c r="I3" s="13">
        <f>H3*C3</f>
        <v>98.425196850393704</v>
      </c>
      <c r="J3" s="13">
        <f t="shared" ref="J3:J9" si="1">E3*8.3</f>
        <v>12.035</v>
      </c>
      <c r="K3" s="13">
        <f t="shared" si="0"/>
        <v>615.96456692913375</v>
      </c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</row>
    <row r="4" spans="1:40" ht="18.75" customHeight="1" outlineLevel="1" x14ac:dyDescent="0.25">
      <c r="A4" s="19">
        <v>17.5</v>
      </c>
      <c r="B4" s="19">
        <v>13.375</v>
      </c>
      <c r="C4" s="5">
        <f>('Well Planning(SI)'!F9-2)/0.3048</f>
        <v>1961.9422572178478</v>
      </c>
      <c r="D4" s="2">
        <v>2.4300000000000002</v>
      </c>
      <c r="E4" s="2">
        <v>2.4</v>
      </c>
      <c r="F4" s="2">
        <v>25</v>
      </c>
      <c r="G4" s="2">
        <v>4300</v>
      </c>
      <c r="H4" s="2">
        <v>0.112</v>
      </c>
      <c r="I4" s="2">
        <f t="shared" ref="I4:I9" si="2">H4*C4</f>
        <v>219.73753280839895</v>
      </c>
      <c r="J4" s="2">
        <f>E4*8.3</f>
        <v>19.920000000000002</v>
      </c>
      <c r="K4" s="2">
        <f t="shared" si="0"/>
        <v>2032.2582677165356</v>
      </c>
      <c r="L4" s="9"/>
      <c r="M4" s="9"/>
      <c r="N4" s="9"/>
      <c r="O4" s="9"/>
      <c r="P4" s="9"/>
      <c r="Q4" s="9"/>
      <c r="R4" s="9"/>
      <c r="S4" s="9"/>
      <c r="T4" s="9"/>
      <c r="U4" s="9"/>
      <c r="W4" s="9"/>
      <c r="X4" s="9"/>
      <c r="Y4" s="9"/>
      <c r="Z4" s="9"/>
      <c r="AA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</row>
    <row r="5" spans="1:40" s="14" customFormat="1" ht="18.75" customHeight="1" outlineLevel="1" x14ac:dyDescent="0.25">
      <c r="A5" s="18" t="s">
        <v>35</v>
      </c>
      <c r="B5" s="20">
        <v>11.75</v>
      </c>
      <c r="C5" s="4">
        <f>((('Well Planning(SI)'!F10-'Well Planning(SI)'!F9)/2)+'Well Planning(SI)'!F9)/0.3048</f>
        <v>2414.1181137653084</v>
      </c>
      <c r="D5" s="13">
        <v>3</v>
      </c>
      <c r="E5" s="13">
        <v>1.1499999999999999</v>
      </c>
      <c r="F5" s="13">
        <v>38</v>
      </c>
      <c r="G5" s="13">
        <v>10000</v>
      </c>
      <c r="H5" s="13">
        <v>0.112</v>
      </c>
      <c r="I5" s="13">
        <f t="shared" si="2"/>
        <v>270.38122874171455</v>
      </c>
      <c r="J5" s="13">
        <f t="shared" si="1"/>
        <v>9.5449999999999999</v>
      </c>
      <c r="K5" s="13">
        <f t="shared" si="0"/>
        <v>1198.2233845862731</v>
      </c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</row>
    <row r="6" spans="1:40" ht="18.75" customHeight="1" outlineLevel="1" x14ac:dyDescent="0.25">
      <c r="A6" s="12" t="s">
        <v>36</v>
      </c>
      <c r="B6" s="19">
        <v>9.625</v>
      </c>
      <c r="C6" s="5">
        <f>('Well Planning(SI)'!F10-3)/0.3048</f>
        <v>2849.8897708377035</v>
      </c>
      <c r="D6" s="2">
        <v>1.88</v>
      </c>
      <c r="E6" s="2">
        <v>1.6</v>
      </c>
      <c r="F6" s="2">
        <v>47</v>
      </c>
      <c r="G6" s="2">
        <v>10000</v>
      </c>
      <c r="H6" s="2">
        <v>0.115</v>
      </c>
      <c r="I6" s="2">
        <f t="shared" si="2"/>
        <v>327.73732364633594</v>
      </c>
      <c r="J6" s="2">
        <f t="shared" si="1"/>
        <v>13.280000000000001</v>
      </c>
      <c r="K6" s="2">
        <f t="shared" si="0"/>
        <v>1968.0198801496847</v>
      </c>
      <c r="L6" s="9"/>
      <c r="M6" s="9"/>
      <c r="N6" s="9"/>
      <c r="O6" s="9"/>
      <c r="P6" s="9"/>
      <c r="Q6" s="9"/>
      <c r="R6" s="9"/>
      <c r="S6" s="9"/>
      <c r="T6" s="9"/>
      <c r="U6" s="9"/>
      <c r="W6" s="9"/>
      <c r="X6" s="9"/>
      <c r="Y6" s="9"/>
      <c r="Z6" s="9"/>
      <c r="AA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</row>
    <row r="7" spans="1:40" s="14" customFormat="1" ht="18.75" customHeight="1" outlineLevel="1" x14ac:dyDescent="0.25">
      <c r="A7" s="20">
        <v>8.5</v>
      </c>
      <c r="B7" s="18">
        <v>7</v>
      </c>
      <c r="C7" s="5">
        <f>('Well Planning(SI)'!F11-1)/0.3048</f>
        <v>7235.3576957078858</v>
      </c>
      <c r="D7" s="13">
        <v>1.9</v>
      </c>
      <c r="E7" s="13">
        <v>1.8</v>
      </c>
      <c r="F7" s="13">
        <v>33</v>
      </c>
      <c r="G7" s="13">
        <v>10000</v>
      </c>
      <c r="H7" s="13">
        <v>0.115</v>
      </c>
      <c r="I7" s="13">
        <f t="shared" si="2"/>
        <v>832.06613500640685</v>
      </c>
      <c r="J7" s="13">
        <f t="shared" si="1"/>
        <v>14.940000000000001</v>
      </c>
      <c r="K7" s="13">
        <f t="shared" si="0"/>
        <v>5621.0046866415423</v>
      </c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</row>
    <row r="8" spans="1:40" ht="18.75" customHeight="1" outlineLevel="1" x14ac:dyDescent="0.25">
      <c r="A8" s="19">
        <v>5.875</v>
      </c>
      <c r="B8" s="12">
        <v>5</v>
      </c>
      <c r="C8" s="5">
        <f>('Well Planning(SI)'!F12+1)/0.3048</f>
        <v>8451.443569553805</v>
      </c>
      <c r="D8" s="2">
        <v>1.66</v>
      </c>
      <c r="E8" s="2">
        <v>1.5</v>
      </c>
      <c r="F8" s="2">
        <v>50</v>
      </c>
      <c r="G8" s="2">
        <v>10000</v>
      </c>
      <c r="H8" s="2">
        <v>0.115</v>
      </c>
      <c r="I8" s="2">
        <f t="shared" si="2"/>
        <v>971.91601049868757</v>
      </c>
      <c r="J8" s="2">
        <f t="shared" si="1"/>
        <v>12.450000000000001</v>
      </c>
      <c r="K8" s="2">
        <f t="shared" si="0"/>
        <v>5471.464566929134</v>
      </c>
      <c r="L8" s="9"/>
      <c r="M8" s="9"/>
      <c r="N8" s="9"/>
      <c r="O8" s="9"/>
      <c r="P8" s="9"/>
      <c r="Q8" s="9"/>
      <c r="R8" s="9"/>
      <c r="S8" s="9"/>
      <c r="T8" s="9"/>
      <c r="U8" s="9"/>
      <c r="W8" s="9"/>
      <c r="X8" s="9"/>
      <c r="Y8" s="9"/>
      <c r="Z8" s="9"/>
      <c r="AA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</row>
    <row r="9" spans="1:40" s="14" customFormat="1" ht="18.75" customHeight="1" outlineLevel="1" x14ac:dyDescent="0.25">
      <c r="A9" s="20">
        <v>4.125</v>
      </c>
      <c r="B9" s="18" t="s">
        <v>37</v>
      </c>
      <c r="C9" s="5">
        <f>('Well Planning(SI)'!F18)/0.3048</f>
        <v>10589.741873673907</v>
      </c>
      <c r="D9" s="13">
        <v>1.75</v>
      </c>
      <c r="E9" s="13">
        <v>1.6</v>
      </c>
      <c r="F9" s="13">
        <v>45</v>
      </c>
      <c r="G9" s="13">
        <v>10000</v>
      </c>
      <c r="H9" s="13">
        <v>0.115</v>
      </c>
      <c r="I9" s="13">
        <f t="shared" si="2"/>
        <v>1217.8203154724995</v>
      </c>
      <c r="J9" s="13">
        <f t="shared" si="1"/>
        <v>13.280000000000001</v>
      </c>
      <c r="K9" s="13">
        <f t="shared" si="0"/>
        <v>7312.8521482842534</v>
      </c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</row>
    <row r="10" spans="1:40" ht="18.75" customHeight="1" outlineLevel="1" x14ac:dyDescent="0.25">
      <c r="A10" s="3"/>
      <c r="B10" s="3"/>
      <c r="C10" s="3"/>
      <c r="D10" s="3"/>
      <c r="E10" s="3"/>
      <c r="F10" s="3"/>
      <c r="G10" s="3"/>
      <c r="H10" s="3"/>
    </row>
    <row r="11" spans="1:40" ht="18.75" customHeight="1" outlineLevel="1" x14ac:dyDescent="0.25">
      <c r="B11" s="3"/>
      <c r="C11" s="3"/>
      <c r="D11" s="3"/>
      <c r="E11" s="3"/>
      <c r="F11" s="3"/>
      <c r="G11" s="3"/>
      <c r="H11" s="3"/>
    </row>
    <row r="12" spans="1:40" ht="18.75" customHeight="1" outlineLevel="1" x14ac:dyDescent="0.25">
      <c r="A12" s="3"/>
      <c r="B12" s="3"/>
      <c r="C12" s="3"/>
      <c r="D12" s="3"/>
      <c r="E12" s="3"/>
      <c r="F12" s="3"/>
      <c r="G12" s="3"/>
      <c r="H12" s="3"/>
    </row>
    <row r="13" spans="1:40" ht="18.75" customHeight="1" outlineLevel="1" x14ac:dyDescent="0.25">
      <c r="A13" s="6"/>
      <c r="B13" s="45" t="s">
        <v>70</v>
      </c>
      <c r="C13" s="45" t="s">
        <v>71</v>
      </c>
      <c r="D13" s="45" t="s">
        <v>47</v>
      </c>
      <c r="E13" s="45" t="s">
        <v>72</v>
      </c>
      <c r="F13" s="45" t="s">
        <v>73</v>
      </c>
      <c r="G13" s="3"/>
      <c r="H13" s="3"/>
      <c r="I13" s="3"/>
    </row>
    <row r="14" spans="1:40" ht="18.75" customHeight="1" outlineLevel="1" x14ac:dyDescent="0.25">
      <c r="A14" s="3"/>
      <c r="B14" s="45">
        <f t="shared" ref="B14:B18" si="3">(D3*8.3)+1</f>
        <v>14.031000000000002</v>
      </c>
      <c r="C14" s="45">
        <f>C3</f>
        <v>984.25196850393695</v>
      </c>
      <c r="D14" s="45">
        <f>0.052*C14*B14</f>
        <v>718.12204724409457</v>
      </c>
      <c r="E14" s="45">
        <f>D14-I3</f>
        <v>619.69685039370086</v>
      </c>
      <c r="F14" s="45" t="str">
        <f>IF(E14&gt;G3,"Not OK","OK")</f>
        <v>OK</v>
      </c>
      <c r="G14" s="3"/>
      <c r="H14" s="3"/>
      <c r="I14" s="3"/>
    </row>
    <row r="15" spans="1:40" ht="18.75" customHeight="1" outlineLevel="1" x14ac:dyDescent="0.25">
      <c r="A15" s="3"/>
      <c r="B15" s="379" t="s">
        <v>153</v>
      </c>
      <c r="C15" s="45">
        <f t="shared" ref="C15:C20" si="4">C4</f>
        <v>1961.9422572178478</v>
      </c>
      <c r="D15" s="45" t="e">
        <f t="shared" ref="D15:D20" si="5">0.052*C15*B15</f>
        <v>#VALUE!</v>
      </c>
      <c r="E15" s="45" t="e">
        <f t="shared" ref="E15:E20" si="6">D15-I4</f>
        <v>#VALUE!</v>
      </c>
      <c r="F15" s="45" t="e">
        <f t="shared" ref="F15:F20" si="7">IF(E15&gt;G4,"Not OK","OK")</f>
        <v>#VALUE!</v>
      </c>
      <c r="G15" s="3"/>
      <c r="H15" s="3"/>
      <c r="I15" s="3"/>
    </row>
    <row r="16" spans="1:40" ht="18.75" customHeight="1" outlineLevel="1" x14ac:dyDescent="0.25">
      <c r="A16" s="3"/>
      <c r="B16" s="45">
        <f t="shared" si="3"/>
        <v>25.900000000000002</v>
      </c>
      <c r="C16" s="45">
        <f t="shared" si="4"/>
        <v>2414.1181137653084</v>
      </c>
      <c r="D16" s="45">
        <f t="shared" si="5"/>
        <v>3251.3342756191173</v>
      </c>
      <c r="E16" s="45">
        <f t="shared" si="6"/>
        <v>2980.9530468774028</v>
      </c>
      <c r="F16" s="45" t="str">
        <f t="shared" si="7"/>
        <v>OK</v>
      </c>
      <c r="G16" s="3"/>
      <c r="H16" s="3"/>
      <c r="I16" s="3"/>
    </row>
    <row r="17" spans="1:34" ht="18.75" customHeight="1" outlineLevel="1" x14ac:dyDescent="0.25">
      <c r="A17" s="3"/>
      <c r="B17" s="45">
        <f t="shared" si="3"/>
        <v>16.603999999999999</v>
      </c>
      <c r="C17" s="45">
        <f t="shared" si="4"/>
        <v>2849.8897708377035</v>
      </c>
      <c r="D17" s="45">
        <f t="shared" si="5"/>
        <v>2460.6176272594398</v>
      </c>
      <c r="E17" s="45">
        <f t="shared" si="6"/>
        <v>2132.8803036131039</v>
      </c>
      <c r="F17" s="45" t="str">
        <f t="shared" si="7"/>
        <v>OK</v>
      </c>
      <c r="G17" s="3"/>
      <c r="H17" s="3"/>
      <c r="I17" s="3"/>
    </row>
    <row r="18" spans="1:34" ht="18.75" customHeight="1" outlineLevel="1" x14ac:dyDescent="0.25">
      <c r="B18" s="45">
        <f t="shared" si="3"/>
        <v>16.770000000000003</v>
      </c>
      <c r="C18" s="45">
        <f t="shared" si="4"/>
        <v>7235.3576957078858</v>
      </c>
      <c r="D18" s="45">
        <f t="shared" si="5"/>
        <v>6309.521324965106</v>
      </c>
      <c r="E18" s="45">
        <f t="shared" si="6"/>
        <v>5477.4551899586995</v>
      </c>
      <c r="F18" s="45" t="str">
        <f t="shared" si="7"/>
        <v>OK</v>
      </c>
      <c r="H18" s="3"/>
      <c r="I18" s="3"/>
    </row>
    <row r="19" spans="1:34" ht="18.75" customHeight="1" outlineLevel="1" x14ac:dyDescent="0.25">
      <c r="B19" s="45">
        <v>100</v>
      </c>
      <c r="C19" s="45">
        <f t="shared" si="4"/>
        <v>8451.443569553805</v>
      </c>
      <c r="D19" s="45">
        <f t="shared" si="5"/>
        <v>43947.506561679787</v>
      </c>
      <c r="E19" s="45">
        <f t="shared" si="6"/>
        <v>42975.5905511811</v>
      </c>
      <c r="F19" s="45" t="str">
        <f t="shared" si="7"/>
        <v>Not OK</v>
      </c>
      <c r="H19" s="3"/>
      <c r="I19" s="3"/>
    </row>
    <row r="20" spans="1:34" ht="18.75" customHeight="1" outlineLevel="1" x14ac:dyDescent="0.25">
      <c r="B20" s="45">
        <v>110</v>
      </c>
      <c r="C20" s="45">
        <f t="shared" si="4"/>
        <v>10589.741873673907</v>
      </c>
      <c r="D20" s="45">
        <f t="shared" si="5"/>
        <v>60573.323517414748</v>
      </c>
      <c r="E20" s="45">
        <f t="shared" si="6"/>
        <v>59355.503201942251</v>
      </c>
      <c r="F20" s="45" t="str">
        <f t="shared" si="7"/>
        <v>Not OK</v>
      </c>
      <c r="H20" s="3"/>
      <c r="I20" s="3"/>
    </row>
    <row r="21" spans="1:34" ht="18.75" customHeight="1" outlineLevel="1" collapsed="1" x14ac:dyDescent="0.25">
      <c r="B21" s="1">
        <v>3000</v>
      </c>
    </row>
    <row r="22" spans="1:34" ht="18.75" customHeight="1" x14ac:dyDescent="0.25">
      <c r="A22" s="421" t="s">
        <v>96</v>
      </c>
      <c r="B22" s="421"/>
      <c r="C22" s="421"/>
      <c r="D22" s="421"/>
      <c r="E22" s="421"/>
      <c r="F22" s="421"/>
      <c r="G22" s="153" t="s">
        <v>254</v>
      </c>
      <c r="H22" s="153" t="s">
        <v>254</v>
      </c>
      <c r="I22" s="153" t="s">
        <v>254</v>
      </c>
      <c r="J22" s="153" t="s">
        <v>254</v>
      </c>
      <c r="K22" s="153" t="s">
        <v>254</v>
      </c>
      <c r="L22" s="153" t="s">
        <v>254</v>
      </c>
      <c r="M22" s="153" t="s">
        <v>254</v>
      </c>
      <c r="N22" s="153" t="s">
        <v>254</v>
      </c>
      <c r="O22" s="153" t="s">
        <v>254</v>
      </c>
      <c r="P22" s="153" t="s">
        <v>254</v>
      </c>
      <c r="Q22" s="153" t="s">
        <v>254</v>
      </c>
      <c r="R22" s="153" t="s">
        <v>254</v>
      </c>
      <c r="S22" s="153" t="s">
        <v>254</v>
      </c>
      <c r="T22" s="153" t="s">
        <v>254</v>
      </c>
      <c r="U22" s="153" t="s">
        <v>254</v>
      </c>
      <c r="V22" s="153" t="s">
        <v>254</v>
      </c>
      <c r="W22" s="153" t="s">
        <v>254</v>
      </c>
      <c r="X22" s="153" t="s">
        <v>254</v>
      </c>
      <c r="Y22" s="153" t="s">
        <v>254</v>
      </c>
      <c r="Z22" s="153" t="s">
        <v>254</v>
      </c>
      <c r="AA22" s="153" t="s">
        <v>254</v>
      </c>
      <c r="AB22" s="195" t="s">
        <v>254</v>
      </c>
      <c r="AC22" s="40"/>
      <c r="AD22" s="40"/>
      <c r="AE22" s="40"/>
      <c r="AF22" s="40"/>
      <c r="AG22" s="40"/>
      <c r="AH22" s="40"/>
    </row>
    <row r="23" spans="1:34" s="9" customFormat="1" ht="18.75" customHeight="1" outlineLevel="1" x14ac:dyDescent="0.25">
      <c r="A23" s="8"/>
      <c r="B23" s="10" t="s">
        <v>333</v>
      </c>
      <c r="AB23" s="172"/>
      <c r="AC23" s="41"/>
      <c r="AD23" s="41"/>
      <c r="AE23" s="41"/>
      <c r="AF23" s="41"/>
      <c r="AG23" s="41"/>
      <c r="AH23" s="41"/>
    </row>
    <row r="24" spans="1:34" s="9" customFormat="1" ht="18.75" customHeight="1" outlineLevel="1" x14ac:dyDescent="0.25">
      <c r="A24" s="11" t="s">
        <v>51</v>
      </c>
      <c r="B24" s="10">
        <f>0.052*((D3*8.3)+1)*(C3)</f>
        <v>718.12204724409446</v>
      </c>
      <c r="AB24" s="172"/>
      <c r="AC24" s="41"/>
      <c r="AD24" s="41"/>
      <c r="AE24" s="41"/>
      <c r="AF24" s="41"/>
      <c r="AG24" s="41"/>
      <c r="AH24" s="41"/>
    </row>
    <row r="25" spans="1:34" s="9" customFormat="1" ht="18.75" customHeight="1" outlineLevel="1" x14ac:dyDescent="0.25">
      <c r="A25" s="8"/>
      <c r="H25" s="428" t="s">
        <v>50</v>
      </c>
      <c r="I25" s="428"/>
      <c r="J25" s="10">
        <v>1.1000000000000001</v>
      </c>
      <c r="AB25" s="172"/>
      <c r="AC25" s="41"/>
      <c r="AD25" s="41"/>
      <c r="AE25" s="41"/>
      <c r="AF25" s="41"/>
      <c r="AG25" s="41"/>
      <c r="AH25" s="41"/>
    </row>
    <row r="26" spans="1:34" ht="18.75" customHeight="1" outlineLevel="1" x14ac:dyDescent="0.25">
      <c r="A26" s="7" t="s">
        <v>49</v>
      </c>
      <c r="B26" s="12" t="s">
        <v>46</v>
      </c>
      <c r="C26" s="12" t="s">
        <v>45</v>
      </c>
      <c r="D26" s="12" t="s">
        <v>44</v>
      </c>
      <c r="F26" s="12" t="s">
        <v>48</v>
      </c>
      <c r="G26" s="21" t="s">
        <v>47</v>
      </c>
      <c r="H26" s="415" t="s">
        <v>48</v>
      </c>
      <c r="I26" s="415"/>
      <c r="J26" s="12" t="s">
        <v>47</v>
      </c>
      <c r="L26" s="12" t="s">
        <v>54</v>
      </c>
      <c r="M26" s="17" t="s">
        <v>28</v>
      </c>
      <c r="N26" s="16" t="s">
        <v>52</v>
      </c>
      <c r="O26" s="415" t="s">
        <v>53</v>
      </c>
      <c r="P26" s="415"/>
      <c r="AB26" s="172"/>
      <c r="AC26" s="41"/>
      <c r="AD26" s="41"/>
      <c r="AE26" s="41"/>
      <c r="AF26" s="41"/>
      <c r="AG26" s="41"/>
      <c r="AH26" s="41"/>
    </row>
    <row r="27" spans="1:34" ht="18.75" customHeight="1" outlineLevel="1" x14ac:dyDescent="0.25">
      <c r="B27" s="2">
        <v>9</v>
      </c>
      <c r="C27" s="2">
        <v>0</v>
      </c>
      <c r="D27" s="2">
        <f>B27*0.052*C3</f>
        <v>460.62992125984249</v>
      </c>
      <c r="F27" s="2">
        <f>E14-C27</f>
        <v>619.69685039370086</v>
      </c>
      <c r="G27" s="22">
        <f>D14-D27</f>
        <v>257.49212598425208</v>
      </c>
      <c r="H27" s="429">
        <f>1.1*F27</f>
        <v>681.66653543307098</v>
      </c>
      <c r="I27" s="429"/>
      <c r="J27" s="2">
        <f>1.1*G27</f>
        <v>283.24133858267732</v>
      </c>
      <c r="L27" s="2">
        <v>19.141999999999999</v>
      </c>
      <c r="M27" s="2">
        <v>40000</v>
      </c>
      <c r="N27" s="2">
        <v>0.438</v>
      </c>
      <c r="O27" s="2">
        <f>(0.875*2*M27*N27)/(2*N27+L27)</f>
        <v>1531.6215406134479</v>
      </c>
      <c r="P27" s="97" t="s">
        <v>56</v>
      </c>
      <c r="AB27" s="172"/>
      <c r="AC27" s="41"/>
      <c r="AD27" s="41"/>
      <c r="AE27" s="41"/>
      <c r="AF27" s="41"/>
      <c r="AG27" s="41"/>
      <c r="AH27" s="41"/>
    </row>
    <row r="28" spans="1:34" ht="18.75" customHeight="1" outlineLevel="1" thickBot="1" x14ac:dyDescent="0.3">
      <c r="H28" s="425" t="s">
        <v>68</v>
      </c>
      <c r="I28" s="425"/>
      <c r="J28" s="37" t="s">
        <v>68</v>
      </c>
      <c r="K28" s="39"/>
      <c r="AB28" s="172"/>
      <c r="AC28" s="41"/>
      <c r="AD28" s="41"/>
      <c r="AE28" s="41"/>
      <c r="AF28" s="41"/>
      <c r="AG28" s="41"/>
      <c r="AH28" s="41"/>
    </row>
    <row r="29" spans="1:34" ht="18.75" customHeight="1" outlineLevel="1" thickBot="1" x14ac:dyDescent="0.3">
      <c r="A29" s="7" t="s">
        <v>55</v>
      </c>
      <c r="B29" s="99" t="s">
        <v>43</v>
      </c>
      <c r="C29" s="12" t="s">
        <v>48</v>
      </c>
      <c r="D29" s="12" t="s">
        <v>47</v>
      </c>
      <c r="E29" s="16" t="s">
        <v>50</v>
      </c>
      <c r="F29" s="12" t="s">
        <v>47</v>
      </c>
      <c r="G29" s="27" t="s">
        <v>69</v>
      </c>
      <c r="H29" s="415">
        <f>H27+(F41*H27)</f>
        <v>702.11653149606309</v>
      </c>
      <c r="I29" s="415"/>
      <c r="J29" s="27">
        <f>J27-(E41*J27)</f>
        <v>280.40892519685053</v>
      </c>
      <c r="L29" s="178"/>
      <c r="M29" s="181" t="s">
        <v>91</v>
      </c>
      <c r="N29" s="178" t="s">
        <v>92</v>
      </c>
      <c r="O29" s="179" t="s">
        <v>88</v>
      </c>
      <c r="P29" s="179" t="s">
        <v>59</v>
      </c>
      <c r="Q29" s="179" t="s">
        <v>93</v>
      </c>
      <c r="R29" s="180" t="s">
        <v>253</v>
      </c>
      <c r="S29" s="180" t="s">
        <v>327</v>
      </c>
      <c r="AB29" s="172"/>
      <c r="AC29" s="41"/>
      <c r="AD29" s="41"/>
      <c r="AE29" s="41"/>
      <c r="AF29" s="41"/>
      <c r="AG29" s="41"/>
      <c r="AH29" s="41"/>
    </row>
    <row r="30" spans="1:34" ht="18.75" customHeight="1" outlineLevel="1" thickBot="1" x14ac:dyDescent="0.3">
      <c r="B30" s="24">
        <f>J3</f>
        <v>12.035</v>
      </c>
      <c r="C30" s="2">
        <v>0</v>
      </c>
      <c r="D30" s="2">
        <f>0.052*B30*C3</f>
        <v>615.96456692913375</v>
      </c>
      <c r="E30" s="2">
        <v>1.1000000000000001</v>
      </c>
      <c r="F30" s="2">
        <f>E30*D30</f>
        <v>677.56102362204717</v>
      </c>
      <c r="G30" s="98" t="s">
        <v>124</v>
      </c>
      <c r="H30" s="426" t="str">
        <f>IF(H29&gt;O27,"Upgrade casing","it is fix")</f>
        <v>it is fix</v>
      </c>
      <c r="I30" s="427"/>
      <c r="J30" s="43" t="str">
        <f>IF(J29&gt;O27,"Upgrade casing","it is fix")</f>
        <v>it is fix</v>
      </c>
      <c r="L30" s="174" t="s">
        <v>89</v>
      </c>
      <c r="M30" s="177">
        <v>0</v>
      </c>
      <c r="N30" s="182">
        <f>O34</f>
        <v>984.25196850393695</v>
      </c>
      <c r="O30" s="175">
        <f>N30-M30</f>
        <v>984.25196850393695</v>
      </c>
      <c r="P30" s="176" t="s">
        <v>124</v>
      </c>
      <c r="Q30" s="177" t="s">
        <v>252</v>
      </c>
      <c r="R30" s="183">
        <v>913000</v>
      </c>
      <c r="S30" s="183">
        <f>F37</f>
        <v>19</v>
      </c>
      <c r="AB30" s="172"/>
      <c r="AC30" s="41"/>
      <c r="AD30" s="41"/>
      <c r="AE30" s="41"/>
      <c r="AF30" s="41"/>
      <c r="AG30" s="41"/>
      <c r="AH30" s="41"/>
    </row>
    <row r="31" spans="1:34" s="23" customFormat="1" ht="18.75" customHeight="1" outlineLevel="1" x14ac:dyDescent="0.25">
      <c r="B31" s="40"/>
      <c r="C31" s="34" t="s">
        <v>68</v>
      </c>
      <c r="D31" s="3"/>
      <c r="E31" s="3"/>
      <c r="F31" s="34" t="s">
        <v>68</v>
      </c>
      <c r="G31" s="24">
        <v>770</v>
      </c>
      <c r="H31" s="32"/>
      <c r="I31" s="32"/>
      <c r="L31" s="169"/>
      <c r="M31" s="170"/>
      <c r="N31" s="171"/>
      <c r="O31" s="169"/>
      <c r="P31" s="3"/>
      <c r="Q31" s="169"/>
      <c r="V31" s="9"/>
      <c r="AB31" s="172"/>
      <c r="AC31" s="41"/>
      <c r="AD31" s="41"/>
      <c r="AE31" s="41"/>
      <c r="AF31" s="41"/>
      <c r="AG31" s="41"/>
      <c r="AH31" s="41"/>
    </row>
    <row r="32" spans="1:34" s="23" customFormat="1" ht="18.75" customHeight="1" outlineLevel="1" x14ac:dyDescent="0.25">
      <c r="B32" s="41"/>
      <c r="C32" s="33">
        <f>C30-(F43*C30)</f>
        <v>0</v>
      </c>
      <c r="D32" s="42"/>
      <c r="E32" s="3"/>
      <c r="F32" s="27">
        <f>F30+(E43*F30)</f>
        <v>684.33663385826765</v>
      </c>
      <c r="G32" s="3"/>
      <c r="H32" s="32"/>
      <c r="I32" s="32"/>
      <c r="V32" s="9"/>
      <c r="AB32" s="172"/>
      <c r="AC32" s="41"/>
      <c r="AD32" s="41"/>
      <c r="AE32" s="41"/>
      <c r="AF32" s="41"/>
      <c r="AG32" s="41"/>
      <c r="AH32" s="41"/>
    </row>
    <row r="33" spans="1:34" s="23" customFormat="1" ht="18.75" customHeight="1" outlineLevel="1" x14ac:dyDescent="0.25">
      <c r="B33" s="41"/>
      <c r="C33" s="44"/>
      <c r="D33" s="42"/>
      <c r="E33" s="3"/>
      <c r="F33" s="43" t="str">
        <f>IF(F32&gt;G31,"Upgrade casing","it is fix")</f>
        <v>it is fix</v>
      </c>
      <c r="G33" s="3"/>
      <c r="H33" s="32"/>
      <c r="I33" s="32"/>
      <c r="L33" s="95" t="s">
        <v>83</v>
      </c>
      <c r="M33" s="305" t="s">
        <v>84</v>
      </c>
      <c r="N33" s="305" t="s">
        <v>85</v>
      </c>
      <c r="O33" s="306" t="s">
        <v>20</v>
      </c>
      <c r="P33" s="409" t="s">
        <v>86</v>
      </c>
      <c r="Q33" s="410"/>
      <c r="V33" s="9"/>
      <c r="AB33" s="172"/>
      <c r="AC33" s="41"/>
      <c r="AD33" s="41"/>
      <c r="AE33" s="41"/>
      <c r="AF33" s="41"/>
      <c r="AG33" s="41"/>
      <c r="AH33" s="41"/>
    </row>
    <row r="34" spans="1:34" ht="18.75" customHeight="1" outlineLevel="1" x14ac:dyDescent="0.25">
      <c r="L34" s="94">
        <f>C30</f>
        <v>0</v>
      </c>
      <c r="M34" s="303">
        <f>F30</f>
        <v>677.56102362204717</v>
      </c>
      <c r="N34" s="303">
        <v>770</v>
      </c>
      <c r="O34" s="304">
        <f>C3</f>
        <v>984.25196850393695</v>
      </c>
      <c r="P34" s="303">
        <f>O34-(((O34)*(M34-N34))/M34)</f>
        <v>1118.5324853791826</v>
      </c>
      <c r="Q34" s="307" t="s">
        <v>124</v>
      </c>
      <c r="AB34" s="172"/>
      <c r="AC34" s="41"/>
      <c r="AD34" s="41"/>
      <c r="AE34" s="41"/>
      <c r="AF34" s="41"/>
      <c r="AG34" s="41"/>
      <c r="AH34" s="41"/>
    </row>
    <row r="35" spans="1:34" ht="18.75" customHeight="1" outlineLevel="1" x14ac:dyDescent="0.25">
      <c r="A35" s="7" t="s">
        <v>57</v>
      </c>
      <c r="B35" s="12" t="s">
        <v>58</v>
      </c>
      <c r="C35" s="96" t="s">
        <v>94</v>
      </c>
      <c r="D35" s="12" t="s">
        <v>61</v>
      </c>
      <c r="E35" s="12" t="s">
        <v>59</v>
      </c>
      <c r="F35" s="17" t="s">
        <v>54</v>
      </c>
      <c r="G35" s="16" t="s">
        <v>52</v>
      </c>
      <c r="H35" s="12" t="s">
        <v>29</v>
      </c>
      <c r="I35" s="12" t="s">
        <v>31</v>
      </c>
      <c r="J35" s="3"/>
      <c r="L35" s="15">
        <f>L34</f>
        <v>0</v>
      </c>
      <c r="M35" s="15">
        <f>M34</f>
        <v>677.56102362204717</v>
      </c>
      <c r="N35" s="308">
        <v>520</v>
      </c>
      <c r="O35" s="113">
        <f>O34</f>
        <v>984.25196850393695</v>
      </c>
      <c r="P35" s="303">
        <f>O35-(((O35)*(M35-N35))/M35)</f>
        <v>755.37258752879859</v>
      </c>
      <c r="Q35" s="307" t="s">
        <v>56</v>
      </c>
      <c r="AB35" s="172"/>
      <c r="AC35" s="41"/>
      <c r="AD35" s="41"/>
      <c r="AE35" s="41"/>
      <c r="AF35" s="41"/>
      <c r="AG35" s="41"/>
      <c r="AH35" s="41"/>
    </row>
    <row r="36" spans="1:34" ht="18.75" customHeight="1" outlineLevel="1" x14ac:dyDescent="0.25">
      <c r="B36" s="2">
        <v>106.5</v>
      </c>
      <c r="C36" s="2">
        <f>O30</f>
        <v>984.25196850393695</v>
      </c>
      <c r="D36" s="15">
        <f>C36*B36</f>
        <v>104822.83464566928</v>
      </c>
      <c r="E36" s="98" t="s">
        <v>56</v>
      </c>
      <c r="F36" s="2">
        <v>19</v>
      </c>
      <c r="G36" s="31">
        <v>0.5</v>
      </c>
      <c r="H36" s="31">
        <f>2*G36+F36</f>
        <v>20</v>
      </c>
      <c r="I36" s="31">
        <f>(3.14159/4)*(H36^2-F36^2)</f>
        <v>30.630502499999999</v>
      </c>
      <c r="J36" s="25"/>
      <c r="AB36" s="172"/>
      <c r="AC36" s="41"/>
      <c r="AD36" s="41"/>
      <c r="AE36" s="41"/>
      <c r="AF36" s="41"/>
      <c r="AG36" s="41"/>
      <c r="AH36" s="41"/>
    </row>
    <row r="37" spans="1:34" ht="18.75" customHeight="1" outlineLevel="1" x14ac:dyDescent="0.25">
      <c r="B37" s="98">
        <v>106.5</v>
      </c>
      <c r="C37" s="98">
        <f>O31</f>
        <v>0</v>
      </c>
      <c r="D37" s="15">
        <f>C37*B37</f>
        <v>0</v>
      </c>
      <c r="E37" s="98" t="s">
        <v>124</v>
      </c>
      <c r="F37" s="98">
        <v>19</v>
      </c>
      <c r="G37" s="98">
        <v>0.5</v>
      </c>
      <c r="H37" s="98">
        <f>2*G37+F37</f>
        <v>20</v>
      </c>
      <c r="I37" s="98">
        <f>(3.14159/4)*(H37^2-F37^2)</f>
        <v>30.630502499999999</v>
      </c>
      <c r="AB37" s="172"/>
      <c r="AC37" s="41"/>
      <c r="AD37" s="41"/>
      <c r="AE37" s="41"/>
      <c r="AF37" s="41"/>
      <c r="AG37" s="41"/>
      <c r="AH37" s="41"/>
    </row>
    <row r="38" spans="1:34" ht="18.75" customHeight="1" outlineLevel="1" x14ac:dyDescent="0.25">
      <c r="B38" s="114" t="s">
        <v>65</v>
      </c>
      <c r="C38" s="100" t="s">
        <v>64</v>
      </c>
      <c r="D38" s="115" t="s">
        <v>28</v>
      </c>
      <c r="E38" s="343" t="s">
        <v>66</v>
      </c>
      <c r="F38" s="343" t="s">
        <v>67</v>
      </c>
      <c r="G38" s="3"/>
      <c r="H38" s="30"/>
      <c r="I38" s="30"/>
      <c r="AB38" s="172"/>
      <c r="AC38" s="41"/>
      <c r="AD38" s="41"/>
      <c r="AE38" s="41"/>
      <c r="AF38" s="41"/>
      <c r="AG38" s="41"/>
      <c r="AH38" s="41"/>
    </row>
    <row r="39" spans="1:34" ht="18.75" customHeight="1" outlineLevel="1" x14ac:dyDescent="0.25">
      <c r="B39" s="15">
        <f>I37*K3</f>
        <v>18867.304207234247</v>
      </c>
      <c r="C39" s="15">
        <f>D36+D37-B39</f>
        <v>85955.530438435031</v>
      </c>
      <c r="D39" s="2">
        <v>55000</v>
      </c>
      <c r="E39" s="33">
        <f>K3/D39</f>
        <v>1.1199355762347886E-2</v>
      </c>
      <c r="F39" s="33">
        <f>(C39/I36)/D39</f>
        <v>5.1021945400777029E-2</v>
      </c>
      <c r="G39" s="41"/>
      <c r="H39" s="38"/>
      <c r="I39" s="38"/>
      <c r="J39" s="40"/>
      <c r="AB39" s="172"/>
      <c r="AC39" s="41"/>
      <c r="AD39" s="41"/>
      <c r="AE39" s="41"/>
      <c r="AF39" s="41"/>
      <c r="AG39" s="41"/>
      <c r="AH39" s="41"/>
    </row>
    <row r="40" spans="1:34" ht="18.75" customHeight="1" outlineLevel="1" x14ac:dyDescent="0.25">
      <c r="E40" s="343" t="s">
        <v>62</v>
      </c>
      <c r="F40" s="343" t="s">
        <v>62</v>
      </c>
      <c r="G40" s="40"/>
      <c r="H40" s="41"/>
      <c r="I40" s="41"/>
      <c r="J40" s="41"/>
      <c r="AB40" s="172"/>
      <c r="AC40" s="41"/>
      <c r="AD40" s="41"/>
      <c r="AE40" s="41"/>
      <c r="AF40" s="41"/>
      <c r="AG40" s="41"/>
      <c r="AH40" s="41"/>
    </row>
    <row r="41" spans="1:34" ht="18.75" customHeight="1" outlineLevel="1" x14ac:dyDescent="0.25">
      <c r="E41" s="28">
        <v>0.01</v>
      </c>
      <c r="F41" s="28">
        <v>0.03</v>
      </c>
      <c r="G41" s="40"/>
      <c r="H41" s="41"/>
      <c r="I41" s="41"/>
      <c r="J41" s="41"/>
      <c r="AB41" s="172"/>
      <c r="AC41" s="41"/>
      <c r="AD41" s="41"/>
      <c r="AE41" s="41"/>
      <c r="AF41" s="41"/>
      <c r="AG41" s="41"/>
      <c r="AH41" s="41"/>
    </row>
    <row r="42" spans="1:34" ht="18.75" customHeight="1" outlineLevel="1" x14ac:dyDescent="0.25">
      <c r="B42" s="35"/>
      <c r="C42" s="36"/>
      <c r="E42" s="343" t="s">
        <v>63</v>
      </c>
      <c r="F42" s="343" t="s">
        <v>63</v>
      </c>
      <c r="G42" s="41"/>
      <c r="H42" s="41"/>
      <c r="I42" s="41"/>
      <c r="J42" s="41"/>
      <c r="AB42" s="172"/>
      <c r="AC42" s="41"/>
      <c r="AD42" s="41"/>
      <c r="AE42" s="41"/>
      <c r="AF42" s="41"/>
      <c r="AG42" s="41"/>
      <c r="AH42" s="41"/>
    </row>
    <row r="43" spans="1:34" ht="18.75" customHeight="1" outlineLevel="1" x14ac:dyDescent="0.25">
      <c r="B43" s="36"/>
      <c r="C43" s="3"/>
      <c r="E43" s="28">
        <v>0.01</v>
      </c>
      <c r="F43" s="28">
        <v>0.03</v>
      </c>
      <c r="AB43" s="172"/>
      <c r="AC43" s="41"/>
      <c r="AD43" s="41"/>
      <c r="AE43" s="41"/>
      <c r="AF43" s="41"/>
      <c r="AG43" s="41"/>
      <c r="AH43" s="41"/>
    </row>
    <row r="44" spans="1:34" s="9" customFormat="1" ht="18.75" customHeight="1" x14ac:dyDescent="0.25">
      <c r="A44" s="201"/>
      <c r="B44" s="201"/>
      <c r="C44" s="201"/>
      <c r="D44" s="201"/>
      <c r="E44" s="201"/>
      <c r="F44" s="201"/>
      <c r="G44" s="201"/>
      <c r="H44" s="201"/>
      <c r="I44" s="201"/>
      <c r="J44" s="201"/>
      <c r="K44" s="201"/>
      <c r="L44" s="201"/>
      <c r="M44" s="201"/>
      <c r="N44" s="201"/>
      <c r="O44" s="201"/>
      <c r="P44" s="201"/>
      <c r="Q44" s="201"/>
      <c r="R44" s="201"/>
      <c r="S44" s="201"/>
      <c r="T44" s="201"/>
      <c r="U44" s="201"/>
      <c r="V44" s="201"/>
      <c r="W44" s="201"/>
      <c r="X44" s="201"/>
      <c r="Y44" s="201"/>
      <c r="Z44" s="201"/>
      <c r="AA44" s="201"/>
      <c r="AB44" s="172"/>
      <c r="AC44" s="41"/>
      <c r="AD44" s="41"/>
      <c r="AE44" s="41"/>
      <c r="AF44" s="41"/>
      <c r="AG44" s="41"/>
      <c r="AH44" s="41"/>
    </row>
    <row r="45" spans="1:34" ht="18.75" customHeight="1" x14ac:dyDescent="0.25">
      <c r="AB45" s="172"/>
      <c r="AC45" s="41"/>
      <c r="AD45" s="41"/>
      <c r="AE45" s="41"/>
      <c r="AF45" s="41"/>
      <c r="AG45" s="41"/>
      <c r="AH45" s="41"/>
    </row>
    <row r="46" spans="1:34" ht="18.75" customHeight="1" x14ac:dyDescent="0.25">
      <c r="A46" s="421" t="s">
        <v>97</v>
      </c>
      <c r="B46" s="421"/>
      <c r="C46" s="421"/>
      <c r="D46" s="421"/>
      <c r="E46" s="421"/>
      <c r="F46" s="421"/>
      <c r="G46" s="184" t="s">
        <v>256</v>
      </c>
      <c r="H46" s="152" t="s">
        <v>255</v>
      </c>
      <c r="I46" s="152" t="s">
        <v>255</v>
      </c>
      <c r="J46" s="152" t="s">
        <v>255</v>
      </c>
      <c r="K46" s="152" t="s">
        <v>255</v>
      </c>
      <c r="L46" s="152" t="s">
        <v>255</v>
      </c>
      <c r="M46" s="152" t="s">
        <v>255</v>
      </c>
      <c r="N46" s="152" t="s">
        <v>255</v>
      </c>
      <c r="O46" s="152" t="s">
        <v>255</v>
      </c>
      <c r="P46" s="152" t="s">
        <v>255</v>
      </c>
      <c r="Q46" s="152" t="s">
        <v>255</v>
      </c>
      <c r="R46" s="152" t="s">
        <v>255</v>
      </c>
      <c r="S46" s="152" t="s">
        <v>255</v>
      </c>
      <c r="T46" s="152" t="s">
        <v>255</v>
      </c>
      <c r="U46" s="152" t="s">
        <v>255</v>
      </c>
      <c r="V46" s="152" t="s">
        <v>255</v>
      </c>
      <c r="W46" s="152" t="s">
        <v>255</v>
      </c>
      <c r="X46" s="152" t="s">
        <v>255</v>
      </c>
      <c r="Y46" s="152" t="s">
        <v>255</v>
      </c>
      <c r="Z46" s="152" t="s">
        <v>255</v>
      </c>
      <c r="AA46" s="152" t="s">
        <v>255</v>
      </c>
      <c r="AB46" s="194" t="s">
        <v>255</v>
      </c>
      <c r="AC46" s="41"/>
      <c r="AD46" s="41"/>
      <c r="AE46" s="41"/>
      <c r="AF46" s="41"/>
      <c r="AG46" s="41"/>
      <c r="AH46" s="41"/>
    </row>
    <row r="47" spans="1:34" ht="18.75" hidden="1" customHeight="1" outlineLevel="1" x14ac:dyDescent="0.25">
      <c r="A47" s="8"/>
      <c r="AB47" s="172"/>
      <c r="AC47" s="41"/>
      <c r="AD47" s="41"/>
      <c r="AE47" s="41"/>
      <c r="AF47" s="41"/>
      <c r="AG47" s="41"/>
      <c r="AH47" s="41"/>
    </row>
    <row r="48" spans="1:34" ht="18.75" hidden="1" customHeight="1" outlineLevel="1" x14ac:dyDescent="0.25">
      <c r="A48" s="11" t="s">
        <v>51</v>
      </c>
      <c r="B48" s="48" t="s">
        <v>74</v>
      </c>
      <c r="D48" s="46" t="s">
        <v>26</v>
      </c>
      <c r="E48" s="46" t="s">
        <v>27</v>
      </c>
      <c r="F48" s="52"/>
      <c r="G48" s="46" t="s">
        <v>75</v>
      </c>
      <c r="H48" s="415" t="s">
        <v>44</v>
      </c>
      <c r="I48" s="415"/>
      <c r="AB48" s="172"/>
      <c r="AC48" s="41"/>
      <c r="AD48" s="41"/>
      <c r="AE48" s="41"/>
      <c r="AF48" s="41"/>
      <c r="AG48" s="41"/>
      <c r="AH48" s="41"/>
    </row>
    <row r="49" spans="1:34" ht="18.75" hidden="1" customHeight="1" outlineLevel="1" x14ac:dyDescent="0.25">
      <c r="A49" s="8"/>
      <c r="B49" s="48">
        <f>0.052*((D4*8.3)+1)*(C4)</f>
        <v>2159.6824934383203</v>
      </c>
      <c r="D49" s="48">
        <v>-2554.6144780157588</v>
      </c>
      <c r="E49" s="48">
        <v>4516.5567352336066</v>
      </c>
      <c r="F49" s="51" t="str">
        <f>IF(D49&lt;0,"thus assume gas colume","")</f>
        <v>thus assume gas colume</v>
      </c>
      <c r="G49" s="4">
        <f>B49-(I4)</f>
        <v>1939.9449606299213</v>
      </c>
      <c r="H49" s="430">
        <f>B49</f>
        <v>2159.6824934383203</v>
      </c>
      <c r="I49" s="430"/>
      <c r="AB49" s="172"/>
      <c r="AC49" s="41"/>
      <c r="AD49" s="41"/>
      <c r="AE49" s="41"/>
      <c r="AF49" s="41"/>
      <c r="AG49" s="41"/>
      <c r="AH49" s="41"/>
    </row>
    <row r="50" spans="1:34" ht="18.75" hidden="1" customHeight="1" outlineLevel="1" x14ac:dyDescent="0.25">
      <c r="F50" s="23"/>
      <c r="H50" s="53" t="s">
        <v>50</v>
      </c>
      <c r="I50" s="10">
        <v>1.1000000000000001</v>
      </c>
      <c r="AB50" s="172"/>
      <c r="AC50" s="41"/>
      <c r="AD50" s="41"/>
      <c r="AE50" s="41"/>
      <c r="AF50" s="41"/>
      <c r="AG50" s="41"/>
      <c r="AH50" s="41"/>
    </row>
    <row r="51" spans="1:34" ht="18.75" hidden="1" customHeight="1" outlineLevel="1" x14ac:dyDescent="0.25">
      <c r="A51" s="7" t="s">
        <v>49</v>
      </c>
      <c r="B51" s="46" t="s">
        <v>46</v>
      </c>
      <c r="C51" s="46" t="s">
        <v>45</v>
      </c>
      <c r="D51" s="46" t="s">
        <v>44</v>
      </c>
      <c r="F51" s="46" t="s">
        <v>75</v>
      </c>
      <c r="G51" s="46" t="s">
        <v>44</v>
      </c>
      <c r="H51" s="46" t="s">
        <v>75</v>
      </c>
      <c r="I51" s="46" t="s">
        <v>44</v>
      </c>
      <c r="K51" s="46" t="s">
        <v>54</v>
      </c>
      <c r="L51" s="17" t="s">
        <v>28</v>
      </c>
      <c r="M51" s="47" t="s">
        <v>52</v>
      </c>
      <c r="N51" s="415" t="s">
        <v>53</v>
      </c>
      <c r="O51" s="415"/>
      <c r="Q51" s="54" t="s">
        <v>76</v>
      </c>
      <c r="R51" s="54" t="s">
        <v>77</v>
      </c>
      <c r="S51" s="54" t="s">
        <v>78</v>
      </c>
      <c r="T51" s="54" t="s">
        <v>20</v>
      </c>
      <c r="U51" s="416" t="s">
        <v>79</v>
      </c>
      <c r="V51" s="416"/>
      <c r="AB51" s="172"/>
      <c r="AC51" s="41"/>
      <c r="AD51" s="41"/>
      <c r="AE51" s="41"/>
      <c r="AF51" s="41"/>
      <c r="AG51" s="41"/>
      <c r="AH51" s="41"/>
    </row>
    <row r="52" spans="1:34" ht="18.75" hidden="1" customHeight="1" outlineLevel="1" x14ac:dyDescent="0.25">
      <c r="A52" s="23"/>
      <c r="B52" s="48">
        <v>9</v>
      </c>
      <c r="C52" s="4">
        <v>0</v>
      </c>
      <c r="D52" s="4">
        <f>B52*0.052*C4</f>
        <v>918.18897637795271</v>
      </c>
      <c r="F52" s="48">
        <f>G49-C52</f>
        <v>1939.9449606299213</v>
      </c>
      <c r="G52" s="48">
        <f>H49-D52</f>
        <v>1241.4935170603676</v>
      </c>
      <c r="H52" s="4">
        <f>F52*I50</f>
        <v>2133.9394566929136</v>
      </c>
      <c r="I52" s="4">
        <f>G52*I50</f>
        <v>1365.6428687664045</v>
      </c>
      <c r="K52" s="48">
        <v>12.715</v>
      </c>
      <c r="L52" s="48">
        <v>40000</v>
      </c>
      <c r="M52" s="48">
        <v>0.33</v>
      </c>
      <c r="N52" s="48">
        <f>(0.875*2*L52*M52)/(2*M52+K52)</f>
        <v>1727.1028037383178</v>
      </c>
      <c r="O52" s="49" t="s">
        <v>80</v>
      </c>
      <c r="Q52" s="55">
        <f>H52</f>
        <v>2133.9394566929136</v>
      </c>
      <c r="R52" s="55">
        <f>I52</f>
        <v>1365.6428687664045</v>
      </c>
      <c r="S52" s="55">
        <f>N52</f>
        <v>1727.1028037383178</v>
      </c>
      <c r="T52" s="55">
        <f>C4</f>
        <v>1961.9422572178478</v>
      </c>
      <c r="U52" s="411">
        <f>((Q52-S52)*(T52))/(Q52-R52)</f>
        <v>1038.9087154101019</v>
      </c>
      <c r="V52" s="411"/>
      <c r="AB52" s="172"/>
      <c r="AC52" s="41"/>
      <c r="AD52" s="41"/>
      <c r="AE52" s="41"/>
      <c r="AF52" s="41"/>
      <c r="AG52" s="41"/>
      <c r="AH52" s="41"/>
    </row>
    <row r="53" spans="1:34" ht="18.75" hidden="1" customHeight="1" outlineLevel="1" x14ac:dyDescent="0.25">
      <c r="A53" s="23"/>
      <c r="H53" s="70" t="s">
        <v>68</v>
      </c>
      <c r="I53" s="61" t="s">
        <v>68</v>
      </c>
      <c r="K53" s="48">
        <v>12.615</v>
      </c>
      <c r="L53" s="48">
        <v>55000</v>
      </c>
      <c r="M53" s="48">
        <v>0.38</v>
      </c>
      <c r="N53" s="48">
        <f>(0.875*2*L53*M53)/(2*M53+K53)</f>
        <v>2734.5794392523367</v>
      </c>
      <c r="O53" s="49" t="s">
        <v>81</v>
      </c>
      <c r="Q53" s="55">
        <f>Q52</f>
        <v>2133.9394566929136</v>
      </c>
      <c r="R53" s="55">
        <f>R52</f>
        <v>1365.6428687664045</v>
      </c>
      <c r="S53" s="55">
        <f>N53</f>
        <v>2734.5794392523367</v>
      </c>
      <c r="T53" s="55">
        <f>T52</f>
        <v>1961.9422572178478</v>
      </c>
      <c r="U53" s="411">
        <f>((Q53-S53)*(T53))/(Q53-R53)</f>
        <v>-1533.8099656777913</v>
      </c>
      <c r="V53" s="411"/>
      <c r="AB53" s="172"/>
      <c r="AC53" s="41"/>
      <c r="AD53" s="41"/>
      <c r="AE53" s="41"/>
      <c r="AF53" s="41"/>
      <c r="AG53" s="41"/>
      <c r="AH53" s="41"/>
    </row>
    <row r="54" spans="1:34" ht="18.75" hidden="1" customHeight="1" outlineLevel="1" x14ac:dyDescent="0.25">
      <c r="H54" s="63">
        <f>H52*F70+H52</f>
        <v>2240.6364295275594</v>
      </c>
      <c r="I54" s="63">
        <f>I52-(I52*E70)</f>
        <v>1338.3300113910764</v>
      </c>
      <c r="K54" s="48">
        <v>12.715</v>
      </c>
      <c r="L54" s="48">
        <v>40000</v>
      </c>
      <c r="M54" s="48">
        <v>0.33</v>
      </c>
      <c r="N54" s="48">
        <f>(0.875*2*L54*M54)/(2*M54+K54)</f>
        <v>1727.1028037383178</v>
      </c>
      <c r="O54" s="48"/>
      <c r="Q54" s="417" t="s">
        <v>68</v>
      </c>
      <c r="R54" s="418"/>
      <c r="S54" s="415" t="s">
        <v>95</v>
      </c>
      <c r="T54" s="415"/>
      <c r="U54" s="411" t="s">
        <v>80</v>
      </c>
      <c r="V54" s="411"/>
      <c r="AB54" s="172"/>
      <c r="AC54" s="41"/>
      <c r="AD54" s="41"/>
      <c r="AE54" s="41"/>
      <c r="AF54" s="41"/>
      <c r="AG54" s="41"/>
      <c r="AH54" s="41"/>
    </row>
    <row r="55" spans="1:34" ht="18.75" hidden="1" customHeight="1" outlineLevel="1" x14ac:dyDescent="0.25">
      <c r="A55" s="7" t="s">
        <v>55</v>
      </c>
      <c r="B55" s="101" t="s">
        <v>43</v>
      </c>
      <c r="C55" s="46" t="s">
        <v>48</v>
      </c>
      <c r="D55" s="46" t="s">
        <v>47</v>
      </c>
      <c r="E55" s="53" t="s">
        <v>50</v>
      </c>
      <c r="F55" s="46" t="s">
        <v>47</v>
      </c>
      <c r="G55" s="56"/>
      <c r="Q55" s="57">
        <f>H54</f>
        <v>2240.6364295275594</v>
      </c>
      <c r="R55" s="57">
        <f>I54</f>
        <v>1338.3300113910764</v>
      </c>
      <c r="S55" s="57">
        <f>N52</f>
        <v>1727.1028037383178</v>
      </c>
      <c r="T55" s="57">
        <f>T52</f>
        <v>1961.9422572178478</v>
      </c>
      <c r="U55" s="411">
        <f>((Q55-S55)*(T55))/(Q55-R55)</f>
        <v>1116.6088378480447</v>
      </c>
      <c r="V55" s="411"/>
      <c r="AB55" s="172"/>
      <c r="AC55" s="41"/>
      <c r="AD55" s="41"/>
      <c r="AE55" s="41"/>
      <c r="AF55" s="41"/>
      <c r="AG55" s="41"/>
      <c r="AH55" s="41"/>
    </row>
    <row r="56" spans="1:34" ht="18.75" hidden="1" customHeight="1" outlineLevel="1" x14ac:dyDescent="0.25">
      <c r="A56" s="23"/>
      <c r="B56" s="48">
        <f>J4</f>
        <v>19.920000000000002</v>
      </c>
      <c r="C56" s="4">
        <v>0</v>
      </c>
      <c r="D56" s="48">
        <f>0.052*B56*C4</f>
        <v>2032.2582677165356</v>
      </c>
      <c r="E56" s="22">
        <v>1.1000000000000001</v>
      </c>
      <c r="F56" s="4">
        <f>E56*D56</f>
        <v>2235.4840944881894</v>
      </c>
      <c r="G56" s="3"/>
      <c r="AB56" s="172"/>
      <c r="AC56" s="41"/>
      <c r="AD56" s="41"/>
      <c r="AE56" s="41"/>
      <c r="AF56" s="41"/>
      <c r="AG56" s="41"/>
      <c r="AH56" s="41"/>
    </row>
    <row r="57" spans="1:34" ht="18.75" hidden="1" customHeight="1" outlineLevel="1" x14ac:dyDescent="0.25">
      <c r="A57" s="23"/>
      <c r="AB57" s="172"/>
      <c r="AC57" s="41"/>
      <c r="AD57" s="41"/>
      <c r="AE57" s="41"/>
      <c r="AF57" s="41"/>
      <c r="AG57" s="41"/>
      <c r="AH57" s="41"/>
    </row>
    <row r="58" spans="1:34" ht="18.75" hidden="1" customHeight="1" outlineLevel="1" x14ac:dyDescent="0.25">
      <c r="A58" s="7" t="s">
        <v>49</v>
      </c>
      <c r="B58" s="46" t="s">
        <v>82</v>
      </c>
      <c r="C58" s="46" t="s">
        <v>45</v>
      </c>
      <c r="D58" s="46" t="s">
        <v>44</v>
      </c>
      <c r="H58" s="46" t="s">
        <v>45</v>
      </c>
      <c r="I58" s="46" t="s">
        <v>44</v>
      </c>
      <c r="K58" s="54" t="s">
        <v>83</v>
      </c>
      <c r="L58" s="54" t="s">
        <v>84</v>
      </c>
      <c r="M58" s="54" t="s">
        <v>85</v>
      </c>
      <c r="N58" s="54" t="s">
        <v>20</v>
      </c>
      <c r="O58" s="416" t="s">
        <v>86</v>
      </c>
      <c r="P58" s="409"/>
      <c r="Q58" s="79"/>
      <c r="R58" s="56"/>
      <c r="S58" s="431"/>
      <c r="T58" s="431"/>
      <c r="AB58" s="172"/>
      <c r="AC58" s="41"/>
      <c r="AD58" s="41"/>
      <c r="AE58" s="41"/>
      <c r="AF58" s="41"/>
      <c r="AG58" s="41"/>
      <c r="AH58" s="41"/>
    </row>
    <row r="59" spans="1:34" ht="18.75" hidden="1" customHeight="1" outlineLevel="1" thickBot="1" x14ac:dyDescent="0.3">
      <c r="A59" s="23"/>
      <c r="B59" s="48">
        <f>J5</f>
        <v>9.5449999999999999</v>
      </c>
      <c r="C59" s="4">
        <v>0</v>
      </c>
      <c r="D59" s="4">
        <f>B59*0.052*C4</f>
        <v>973.79041994750651</v>
      </c>
      <c r="H59" s="4">
        <f>C56-C59</f>
        <v>0</v>
      </c>
      <c r="I59" s="4">
        <f>F56-D59</f>
        <v>1261.6936745406829</v>
      </c>
      <c r="K59" s="57">
        <f>H59</f>
        <v>0</v>
      </c>
      <c r="L59" s="57">
        <f>I59</f>
        <v>1261.6936745406829</v>
      </c>
      <c r="M59" s="57">
        <v>1540</v>
      </c>
      <c r="N59" s="57">
        <f>C4</f>
        <v>1961.9422572178478</v>
      </c>
      <c r="O59" s="57">
        <f>N59-(((N59)*(L59-M59))/L59)</f>
        <v>2394.71048883194</v>
      </c>
      <c r="P59" s="78" t="s">
        <v>87</v>
      </c>
      <c r="Q59" s="80"/>
      <c r="R59" s="25"/>
      <c r="S59" s="25"/>
      <c r="T59" s="3"/>
      <c r="V59" s="158"/>
      <c r="W59" s="52"/>
      <c r="X59" s="52"/>
      <c r="Y59" s="52"/>
      <c r="Z59" s="52"/>
      <c r="AB59" s="172"/>
      <c r="AC59" s="41"/>
      <c r="AD59" s="41"/>
      <c r="AE59" s="41"/>
      <c r="AF59" s="41"/>
      <c r="AG59" s="41"/>
      <c r="AH59" s="41"/>
    </row>
    <row r="60" spans="1:34" ht="18.75" hidden="1" customHeight="1" outlineLevel="1" x14ac:dyDescent="0.25">
      <c r="H60" s="61" t="s">
        <v>68</v>
      </c>
      <c r="I60" s="61" t="s">
        <v>68</v>
      </c>
      <c r="K60" s="57">
        <f>K59</f>
        <v>0</v>
      </c>
      <c r="L60" s="57">
        <f>L59</f>
        <v>1261.6936745406829</v>
      </c>
      <c r="M60" s="57">
        <v>1130</v>
      </c>
      <c r="N60" s="57">
        <f>N59</f>
        <v>1961.9422572178478</v>
      </c>
      <c r="O60" s="57">
        <f>N60-(((N60)*(L60-M60))/L60)</f>
        <v>1757.1576963507093</v>
      </c>
      <c r="P60" s="50" t="s">
        <v>81</v>
      </c>
      <c r="R60" s="25"/>
      <c r="S60" s="25"/>
      <c r="T60" s="186"/>
      <c r="U60" s="160" t="s">
        <v>91</v>
      </c>
      <c r="V60" s="160" t="s">
        <v>92</v>
      </c>
      <c r="W60" s="160" t="s">
        <v>88</v>
      </c>
      <c r="X60" s="160" t="s">
        <v>59</v>
      </c>
      <c r="Y60" s="160" t="s">
        <v>93</v>
      </c>
      <c r="Z60" s="161" t="s">
        <v>253</v>
      </c>
      <c r="AA60" s="161" t="s">
        <v>327</v>
      </c>
      <c r="AB60" s="172"/>
      <c r="AC60" s="41"/>
      <c r="AD60" s="41"/>
      <c r="AE60" s="41"/>
      <c r="AF60" s="41"/>
      <c r="AG60" s="41"/>
      <c r="AH60" s="41"/>
    </row>
    <row r="61" spans="1:34" ht="18.75" hidden="1" customHeight="1" outlineLevel="1" thickBot="1" x14ac:dyDescent="0.3">
      <c r="A61" s="23"/>
      <c r="H61" s="63">
        <v>0</v>
      </c>
      <c r="I61" s="63">
        <f>I59*E72+I59</f>
        <v>1274.3106112860896</v>
      </c>
      <c r="K61" s="55">
        <f>K60</f>
        <v>0</v>
      </c>
      <c r="L61" s="55">
        <f>L60</f>
        <v>1261.6936745406829</v>
      </c>
      <c r="M61" s="55">
        <v>740</v>
      </c>
      <c r="N61" s="55">
        <f>N60</f>
        <v>1961.9422572178478</v>
      </c>
      <c r="O61" s="71">
        <f>N61-(((N61)*(L61-M61))/L61)</f>
        <v>1150.7050400880753</v>
      </c>
      <c r="P61" s="50" t="s">
        <v>80</v>
      </c>
      <c r="R61" s="25"/>
      <c r="S61" s="25"/>
      <c r="T61" s="187" t="s">
        <v>89</v>
      </c>
      <c r="U61" s="167">
        <v>0</v>
      </c>
      <c r="V61" s="166">
        <f>C4</f>
        <v>1961.9422572178478</v>
      </c>
      <c r="W61" s="167">
        <f>V61-U61</f>
        <v>1961.9422572178478</v>
      </c>
      <c r="X61" s="167" t="s">
        <v>87</v>
      </c>
      <c r="Y61" s="167" t="s">
        <v>252</v>
      </c>
      <c r="Z61" s="168">
        <v>595000</v>
      </c>
      <c r="AA61" s="168">
        <f>F66</f>
        <v>12.515000000000001</v>
      </c>
      <c r="AB61" s="172"/>
      <c r="AC61" s="41"/>
      <c r="AD61" s="41"/>
      <c r="AE61" s="41"/>
      <c r="AF61" s="41"/>
      <c r="AG61" s="41"/>
      <c r="AH61" s="41"/>
    </row>
    <row r="62" spans="1:34" ht="18.75" hidden="1" customHeight="1" outlineLevel="1" x14ac:dyDescent="0.25">
      <c r="A62" s="23"/>
      <c r="K62" s="417" t="s">
        <v>68</v>
      </c>
      <c r="L62" s="432"/>
      <c r="M62" s="415" t="s">
        <v>95</v>
      </c>
      <c r="N62" s="415"/>
      <c r="R62" s="25"/>
      <c r="S62" s="3"/>
      <c r="U62" s="185"/>
      <c r="V62" s="169"/>
      <c r="W62" s="171"/>
      <c r="X62" s="169"/>
      <c r="Y62" s="169"/>
      <c r="Z62" s="169"/>
      <c r="AA62" s="3"/>
      <c r="AB62" s="172"/>
      <c r="AC62" s="41"/>
      <c r="AD62" s="41"/>
      <c r="AE62" s="41"/>
      <c r="AF62" s="41"/>
      <c r="AG62" s="41"/>
      <c r="AH62" s="41"/>
    </row>
    <row r="63" spans="1:34" ht="18.75" hidden="1" customHeight="1" outlineLevel="1" x14ac:dyDescent="0.25">
      <c r="A63" s="7" t="s">
        <v>57</v>
      </c>
      <c r="B63" s="59" t="s">
        <v>59</v>
      </c>
      <c r="C63" s="59" t="s">
        <v>58</v>
      </c>
      <c r="D63" s="59" t="s">
        <v>94</v>
      </c>
      <c r="E63" s="59" t="s">
        <v>61</v>
      </c>
      <c r="F63" s="17" t="s">
        <v>54</v>
      </c>
      <c r="G63" s="62" t="s">
        <v>52</v>
      </c>
      <c r="H63" s="59" t="s">
        <v>29</v>
      </c>
      <c r="I63" s="59" t="s">
        <v>31</v>
      </c>
      <c r="K63" s="57">
        <f>K61</f>
        <v>0</v>
      </c>
      <c r="L63" s="57">
        <f>I61</f>
        <v>1274.3106112860896</v>
      </c>
      <c r="M63" s="57">
        <v>740</v>
      </c>
      <c r="N63" s="57">
        <f>N61</f>
        <v>1961.9422572178478</v>
      </c>
      <c r="O63" s="411">
        <f>N63-(((N63)*(L63-M63))/L63)</f>
        <v>1139.3119208792823</v>
      </c>
      <c r="P63" s="411"/>
      <c r="AB63" s="172"/>
      <c r="AC63" s="41"/>
      <c r="AD63" s="41"/>
      <c r="AE63" s="41"/>
      <c r="AF63" s="41"/>
      <c r="AG63" s="41"/>
      <c r="AH63" s="41"/>
    </row>
    <row r="64" spans="1:34" ht="18.75" hidden="1" customHeight="1" outlineLevel="1" x14ac:dyDescent="0.25">
      <c r="A64" s="23"/>
      <c r="B64" s="342" t="s">
        <v>87</v>
      </c>
      <c r="C64" s="63">
        <v>61</v>
      </c>
      <c r="D64" s="15">
        <f>W61</f>
        <v>1961.9422572178478</v>
      </c>
      <c r="E64" s="15">
        <f>D64*C64</f>
        <v>119678.47769028871</v>
      </c>
      <c r="F64" s="63">
        <v>12.515000000000001</v>
      </c>
      <c r="G64" s="63">
        <v>0.48</v>
      </c>
      <c r="H64" s="63">
        <f>2*G64+F64</f>
        <v>13.475000000000001</v>
      </c>
      <c r="I64" s="63">
        <f>(3.14159/4)*(H64^2-F64^2)</f>
        <v>19.595981784000024</v>
      </c>
      <c r="AB64" s="172"/>
      <c r="AC64" s="41"/>
      <c r="AD64" s="41"/>
      <c r="AE64" s="41"/>
      <c r="AF64" s="41"/>
      <c r="AG64" s="41"/>
      <c r="AH64" s="41"/>
    </row>
    <row r="65" spans="1:34" ht="18.75" hidden="1" customHeight="1" outlineLevel="1" x14ac:dyDescent="0.25">
      <c r="A65" s="23"/>
      <c r="B65" s="59" t="s">
        <v>59</v>
      </c>
      <c r="C65" s="59" t="s">
        <v>58</v>
      </c>
      <c r="D65" s="59" t="s">
        <v>94</v>
      </c>
      <c r="E65" s="59" t="s">
        <v>61</v>
      </c>
      <c r="F65" s="17" t="s">
        <v>54</v>
      </c>
      <c r="G65" s="62" t="s">
        <v>52</v>
      </c>
      <c r="H65" s="59" t="s">
        <v>29</v>
      </c>
      <c r="I65" s="59" t="s">
        <v>31</v>
      </c>
      <c r="AB65" s="172"/>
      <c r="AC65" s="41"/>
      <c r="AD65" s="41"/>
      <c r="AE65" s="41"/>
      <c r="AF65" s="41"/>
      <c r="AG65" s="41"/>
      <c r="AH65" s="41"/>
    </row>
    <row r="66" spans="1:34" ht="18.75" hidden="1" customHeight="1" outlineLevel="1" x14ac:dyDescent="0.25">
      <c r="A66" s="23"/>
      <c r="B66" s="106" t="s">
        <v>87</v>
      </c>
      <c r="C66" s="63">
        <v>61</v>
      </c>
      <c r="D66" s="15">
        <f>X62</f>
        <v>0</v>
      </c>
      <c r="E66" s="15">
        <f>D66*C66</f>
        <v>0</v>
      </c>
      <c r="F66" s="63">
        <v>12.515000000000001</v>
      </c>
      <c r="G66" s="63">
        <v>0.48</v>
      </c>
      <c r="H66" s="63">
        <f>2*G66+F66</f>
        <v>13.475000000000001</v>
      </c>
      <c r="I66" s="63">
        <f>(3.14159/4)*(H66^2-F66^2)</f>
        <v>19.595981784000024</v>
      </c>
      <c r="AB66" s="172"/>
      <c r="AC66" s="41"/>
      <c r="AD66" s="41"/>
      <c r="AE66" s="41"/>
      <c r="AF66" s="41"/>
      <c r="AG66" s="41"/>
      <c r="AH66" s="41"/>
    </row>
    <row r="67" spans="1:34" ht="18.75" hidden="1" customHeight="1" outlineLevel="1" x14ac:dyDescent="0.25">
      <c r="A67" s="23"/>
      <c r="B67" s="26" t="s">
        <v>65</v>
      </c>
      <c r="C67" s="59" t="s">
        <v>64</v>
      </c>
      <c r="D67" s="29">
        <v>3</v>
      </c>
      <c r="E67" s="59" t="s">
        <v>66</v>
      </c>
      <c r="F67" s="59" t="s">
        <v>67</v>
      </c>
      <c r="AB67" s="172"/>
      <c r="AC67" s="41"/>
      <c r="AD67" s="41"/>
      <c r="AE67" s="41"/>
      <c r="AF67" s="41"/>
      <c r="AG67" s="41"/>
      <c r="AH67" s="41"/>
    </row>
    <row r="68" spans="1:34" ht="18.75" hidden="1" customHeight="1" outlineLevel="1" x14ac:dyDescent="0.25">
      <c r="B68" s="15">
        <f>K4*I66</f>
        <v>39824.095994556672</v>
      </c>
      <c r="C68" s="15">
        <f>E64+E66+(0.052*D64*J4)-B68</f>
        <v>81886.639963448572</v>
      </c>
      <c r="D68" s="63">
        <v>55000</v>
      </c>
      <c r="E68" s="28">
        <f>K4/D68</f>
        <v>3.6950150322118826E-2</v>
      </c>
      <c r="F68" s="28">
        <f>(C68/I64)/D68</f>
        <v>7.597720878425504E-2</v>
      </c>
      <c r="AB68" s="172"/>
      <c r="AC68" s="41"/>
      <c r="AD68" s="41"/>
      <c r="AE68" s="41"/>
      <c r="AF68" s="41"/>
      <c r="AG68" s="41"/>
      <c r="AH68" s="41"/>
    </row>
    <row r="69" spans="1:34" ht="18.75" hidden="1" customHeight="1" outlineLevel="1" x14ac:dyDescent="0.25">
      <c r="E69" s="59" t="s">
        <v>62</v>
      </c>
      <c r="F69" s="59" t="s">
        <v>62</v>
      </c>
      <c r="AB69" s="172"/>
      <c r="AC69" s="41"/>
      <c r="AD69" s="41"/>
      <c r="AE69" s="41"/>
      <c r="AF69" s="41"/>
      <c r="AG69" s="41"/>
      <c r="AH69" s="41"/>
    </row>
    <row r="70" spans="1:34" ht="18.75" hidden="1" customHeight="1" outlineLevel="1" x14ac:dyDescent="0.25">
      <c r="E70" s="28">
        <v>0.02</v>
      </c>
      <c r="F70" s="28">
        <v>0.05</v>
      </c>
      <c r="AB70" s="172"/>
      <c r="AC70" s="41"/>
      <c r="AD70" s="41"/>
      <c r="AE70" s="41"/>
      <c r="AF70" s="41"/>
      <c r="AG70" s="41"/>
      <c r="AH70" s="41"/>
    </row>
    <row r="71" spans="1:34" ht="18.75" hidden="1" customHeight="1" outlineLevel="1" x14ac:dyDescent="0.25">
      <c r="E71" s="59" t="s">
        <v>63</v>
      </c>
      <c r="F71" s="59" t="s">
        <v>63</v>
      </c>
      <c r="AB71" s="172"/>
      <c r="AC71" s="41"/>
      <c r="AD71" s="41"/>
      <c r="AE71" s="41"/>
      <c r="AF71" s="41"/>
      <c r="AG71" s="41"/>
      <c r="AH71" s="41"/>
    </row>
    <row r="72" spans="1:34" ht="18.75" hidden="1" customHeight="1" outlineLevel="1" x14ac:dyDescent="0.25">
      <c r="E72" s="28">
        <v>0.01</v>
      </c>
      <c r="F72" s="28">
        <v>0.06</v>
      </c>
      <c r="AB72" s="172"/>
      <c r="AC72" s="41"/>
      <c r="AD72" s="41"/>
      <c r="AE72" s="41"/>
      <c r="AF72" s="41"/>
      <c r="AG72" s="41"/>
      <c r="AH72" s="41"/>
    </row>
    <row r="73" spans="1:34" ht="18.75" hidden="1" customHeight="1" outlineLevel="1" x14ac:dyDescent="0.25">
      <c r="AB73" s="172"/>
      <c r="AC73" s="41"/>
      <c r="AD73" s="41"/>
      <c r="AE73" s="41"/>
      <c r="AF73" s="41"/>
      <c r="AG73" s="41"/>
      <c r="AH73" s="41"/>
    </row>
    <row r="74" spans="1:34" s="9" customFormat="1" ht="18.75" customHeight="1" collapsed="1" x14ac:dyDescent="0.25">
      <c r="A74" s="201"/>
      <c r="B74" s="201"/>
      <c r="C74" s="201"/>
      <c r="D74" s="201"/>
      <c r="E74" s="201"/>
      <c r="F74" s="201"/>
      <c r="G74" s="201"/>
      <c r="H74" s="201"/>
      <c r="I74" s="201"/>
      <c r="J74" s="201"/>
      <c r="K74" s="201"/>
      <c r="L74" s="201"/>
      <c r="M74" s="201"/>
      <c r="N74" s="201"/>
      <c r="O74" s="201"/>
      <c r="P74" s="201"/>
      <c r="Q74" s="201"/>
      <c r="R74" s="201"/>
      <c r="S74" s="201"/>
      <c r="T74" s="201"/>
      <c r="U74" s="201"/>
      <c r="V74" s="201"/>
      <c r="W74" s="201"/>
      <c r="X74" s="201"/>
      <c r="Y74" s="201"/>
      <c r="Z74" s="201"/>
      <c r="AA74" s="201"/>
      <c r="AB74" s="172"/>
      <c r="AC74" s="41"/>
      <c r="AD74" s="41"/>
      <c r="AE74" s="41"/>
      <c r="AF74" s="41"/>
      <c r="AG74" s="41"/>
      <c r="AH74" s="41"/>
    </row>
    <row r="75" spans="1:34" ht="18.75" customHeight="1" x14ac:dyDescent="0.25">
      <c r="AB75" s="172"/>
      <c r="AC75" s="41"/>
      <c r="AD75" s="41"/>
      <c r="AE75" s="41"/>
      <c r="AF75" s="41"/>
      <c r="AG75" s="41"/>
      <c r="AH75" s="41"/>
    </row>
    <row r="76" spans="1:34" ht="18.75" customHeight="1" x14ac:dyDescent="0.25">
      <c r="A76" s="421" t="s">
        <v>98</v>
      </c>
      <c r="B76" s="421"/>
      <c r="C76" s="421"/>
      <c r="D76" s="421"/>
      <c r="E76" s="421"/>
      <c r="F76" s="421"/>
      <c r="G76" s="184" t="s">
        <v>257</v>
      </c>
      <c r="H76" s="184" t="s">
        <v>257</v>
      </c>
      <c r="I76" s="184" t="s">
        <v>257</v>
      </c>
      <c r="J76" s="184" t="s">
        <v>257</v>
      </c>
      <c r="K76" s="184" t="s">
        <v>257</v>
      </c>
      <c r="L76" s="184" t="s">
        <v>257</v>
      </c>
      <c r="M76" s="184" t="s">
        <v>257</v>
      </c>
      <c r="N76" s="184" t="s">
        <v>257</v>
      </c>
      <c r="O76" s="184" t="s">
        <v>257</v>
      </c>
      <c r="P76" s="184" t="s">
        <v>257</v>
      </c>
      <c r="Q76" s="184" t="s">
        <v>257</v>
      </c>
      <c r="R76" s="184" t="s">
        <v>257</v>
      </c>
      <c r="S76" s="184" t="s">
        <v>257</v>
      </c>
      <c r="T76" s="184" t="s">
        <v>257</v>
      </c>
      <c r="U76" s="184" t="s">
        <v>257</v>
      </c>
      <c r="V76" s="184" t="s">
        <v>257</v>
      </c>
      <c r="W76" s="184" t="s">
        <v>257</v>
      </c>
      <c r="X76" s="184" t="s">
        <v>257</v>
      </c>
      <c r="Y76" s="184" t="s">
        <v>257</v>
      </c>
      <c r="Z76" s="184" t="s">
        <v>257</v>
      </c>
      <c r="AA76" s="184" t="s">
        <v>257</v>
      </c>
      <c r="AB76" s="184" t="s">
        <v>257</v>
      </c>
    </row>
    <row r="77" spans="1:34" ht="18.75" hidden="1" customHeight="1" outlineLevel="1" x14ac:dyDescent="0.25">
      <c r="B77" s="23" t="s">
        <v>153</v>
      </c>
      <c r="AB77" s="172"/>
    </row>
    <row r="78" spans="1:34" ht="18.75" hidden="1" customHeight="1" outlineLevel="1" x14ac:dyDescent="0.25">
      <c r="A78" s="11" t="s">
        <v>51</v>
      </c>
      <c r="B78" s="63" t="s">
        <v>74</v>
      </c>
      <c r="C78" s="23"/>
      <c r="D78" s="59" t="s">
        <v>26</v>
      </c>
      <c r="E78" s="59" t="s">
        <v>27</v>
      </c>
      <c r="F78" s="52"/>
      <c r="G78" s="59" t="s">
        <v>75</v>
      </c>
      <c r="H78" s="415" t="s">
        <v>44</v>
      </c>
      <c r="I78" s="415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W78" s="23"/>
      <c r="X78" s="23"/>
      <c r="Y78" s="23"/>
      <c r="Z78" s="23"/>
      <c r="AA78" s="23"/>
      <c r="AB78" s="172"/>
      <c r="AC78" s="23"/>
      <c r="AD78" s="23"/>
    </row>
    <row r="79" spans="1:34" ht="18.75" hidden="1" customHeight="1" outlineLevel="1" x14ac:dyDescent="0.25">
      <c r="A79" s="8"/>
      <c r="B79" s="63">
        <f>0.052*(D5*8.3+1)*C5</f>
        <v>3251.3342756191173</v>
      </c>
      <c r="C79" s="23"/>
      <c r="D79" s="63">
        <v>-22735.695026953803</v>
      </c>
      <c r="E79" s="63">
        <v>25149.81314071911</v>
      </c>
      <c r="F79" s="51" t="str">
        <f>IF(D79&lt;0,"thus assume gas colume","")</f>
        <v>thus assume gas colume</v>
      </c>
      <c r="G79" s="60">
        <f>B79-I5</f>
        <v>2980.9530468774028</v>
      </c>
      <c r="H79" s="430">
        <f>B79</f>
        <v>3251.3342756191173</v>
      </c>
      <c r="I79" s="430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W79" s="23"/>
      <c r="X79" s="23"/>
      <c r="Y79" s="23"/>
      <c r="Z79" s="23"/>
      <c r="AA79" s="23"/>
      <c r="AB79" s="172"/>
      <c r="AC79" s="23"/>
      <c r="AD79" s="23"/>
    </row>
    <row r="80" spans="1:34" ht="18.75" hidden="1" customHeight="1" outlineLevel="1" x14ac:dyDescent="0.25">
      <c r="A80" s="23"/>
      <c r="B80" s="23"/>
      <c r="C80" s="23"/>
      <c r="D80" s="23"/>
      <c r="E80" s="23"/>
      <c r="F80" s="23"/>
      <c r="G80" s="23"/>
      <c r="H80" s="53" t="s">
        <v>50</v>
      </c>
      <c r="I80" s="10">
        <v>1.1000000000000001</v>
      </c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W80" s="23"/>
      <c r="X80" s="23"/>
      <c r="Y80" s="23"/>
      <c r="Z80" s="23"/>
      <c r="AA80" s="23"/>
      <c r="AB80" s="172"/>
      <c r="AC80" s="23"/>
      <c r="AD80" s="23"/>
    </row>
    <row r="81" spans="1:30" ht="18.75" hidden="1" customHeight="1" outlineLevel="1" x14ac:dyDescent="0.25">
      <c r="A81" s="7" t="s">
        <v>49</v>
      </c>
      <c r="B81" s="59">
        <v>100</v>
      </c>
      <c r="C81" s="59" t="s">
        <v>45</v>
      </c>
      <c r="D81" s="59" t="s">
        <v>44</v>
      </c>
      <c r="E81" s="23"/>
      <c r="F81" s="59" t="s">
        <v>75</v>
      </c>
      <c r="G81" s="59" t="s">
        <v>44</v>
      </c>
      <c r="H81" s="59" t="s">
        <v>75</v>
      </c>
      <c r="I81" s="59" t="s">
        <v>44</v>
      </c>
      <c r="J81" s="23"/>
      <c r="K81" s="59" t="s">
        <v>54</v>
      </c>
      <c r="L81" s="17" t="s">
        <v>28</v>
      </c>
      <c r="M81" s="62" t="s">
        <v>52</v>
      </c>
      <c r="N81" s="415" t="s">
        <v>53</v>
      </c>
      <c r="O81" s="415"/>
      <c r="P81" s="23"/>
      <c r="Q81" s="58" t="s">
        <v>76</v>
      </c>
      <c r="R81" s="58" t="s">
        <v>77</v>
      </c>
      <c r="S81" s="58" t="s">
        <v>78</v>
      </c>
      <c r="T81" s="58" t="s">
        <v>20</v>
      </c>
      <c r="U81" s="416" t="s">
        <v>79</v>
      </c>
      <c r="V81" s="416"/>
      <c r="W81" s="23"/>
      <c r="X81" s="23"/>
      <c r="Y81" s="23"/>
      <c r="Z81" s="23"/>
      <c r="AA81" s="23"/>
      <c r="AB81" s="172"/>
      <c r="AC81" s="23"/>
      <c r="AD81" s="23"/>
    </row>
    <row r="82" spans="1:30" ht="18.75" hidden="1" customHeight="1" outlineLevel="1" x14ac:dyDescent="0.25">
      <c r="A82" s="23"/>
      <c r="B82" s="63">
        <v>110</v>
      </c>
      <c r="C82" s="60">
        <v>0</v>
      </c>
      <c r="D82" s="60">
        <f>0.052*B82*C5</f>
        <v>13808.755610737564</v>
      </c>
      <c r="E82" s="23"/>
      <c r="F82" s="63">
        <f>G79-C82</f>
        <v>2980.9530468774028</v>
      </c>
      <c r="G82" s="63">
        <f>H79-D82</f>
        <v>-10557.421335118446</v>
      </c>
      <c r="H82" s="60">
        <f>F82*I80</f>
        <v>3279.0483515651435</v>
      </c>
      <c r="I82" s="60">
        <f>G82*I80</f>
        <v>-11613.163468630291</v>
      </c>
      <c r="J82" s="23"/>
      <c r="K82" s="63">
        <v>11.084</v>
      </c>
      <c r="L82" s="63">
        <v>40000</v>
      </c>
      <c r="M82" s="63">
        <v>0.33300000000000002</v>
      </c>
      <c r="N82" s="63">
        <f>(0.875*2*L82*M82)/(2*M82+K82)</f>
        <v>1983.8297872340424</v>
      </c>
      <c r="O82" s="66" t="s">
        <v>99</v>
      </c>
      <c r="P82" s="23"/>
      <c r="Q82" s="57">
        <f>H82</f>
        <v>3279.0483515651435</v>
      </c>
      <c r="R82" s="57">
        <f>I82</f>
        <v>-11613.163468630291</v>
      </c>
      <c r="S82" s="57">
        <f>N82</f>
        <v>1983.8297872340424</v>
      </c>
      <c r="T82" s="57">
        <f>C5</f>
        <v>2414.1181137653084</v>
      </c>
      <c r="U82" s="411">
        <f>((Q82-S82)*(T82))/(Q82-R82)</f>
        <v>209.96280708259323</v>
      </c>
      <c r="V82" s="411"/>
      <c r="W82" s="23"/>
      <c r="X82" s="23"/>
      <c r="Y82" s="23"/>
      <c r="Z82" s="23"/>
      <c r="AA82" s="23"/>
      <c r="AB82" s="172"/>
      <c r="AC82" s="23"/>
      <c r="AD82" s="23"/>
    </row>
    <row r="83" spans="1:30" ht="18.75" hidden="1" customHeight="1" outlineLevel="1" x14ac:dyDescent="0.25">
      <c r="A83" s="23"/>
      <c r="B83" s="23">
        <v>3000</v>
      </c>
      <c r="C83" s="23"/>
      <c r="D83" s="23"/>
      <c r="E83" s="23"/>
      <c r="F83" s="23"/>
      <c r="G83" s="23"/>
      <c r="H83" s="70" t="s">
        <v>68</v>
      </c>
      <c r="I83" s="61" t="s">
        <v>68</v>
      </c>
      <c r="J83" s="23"/>
      <c r="K83" s="63"/>
      <c r="L83" s="63"/>
      <c r="M83" s="63"/>
      <c r="N83" s="63"/>
      <c r="O83" s="67"/>
      <c r="P83" s="23"/>
      <c r="Q83" s="57"/>
      <c r="R83" s="57"/>
      <c r="S83" s="57"/>
      <c r="T83" s="57"/>
      <c r="U83" s="411"/>
      <c r="V83" s="411"/>
      <c r="W83" s="23"/>
      <c r="X83" s="23"/>
      <c r="Y83" s="23"/>
      <c r="Z83" s="23"/>
      <c r="AA83" s="23"/>
      <c r="AB83" s="172"/>
      <c r="AC83" s="23"/>
      <c r="AD83" s="23"/>
    </row>
    <row r="84" spans="1:30" ht="18.75" hidden="1" customHeight="1" outlineLevel="1" x14ac:dyDescent="0.25">
      <c r="A84" s="23"/>
      <c r="B84" s="23"/>
      <c r="C84" s="23"/>
      <c r="D84" s="23"/>
      <c r="E84" s="23"/>
      <c r="F84" s="23"/>
      <c r="G84" s="23"/>
      <c r="H84" s="63">
        <f>H82*F100+H82</f>
        <v>3574.1627032060064</v>
      </c>
      <c r="I84" s="63">
        <f>I82-(I82*E100)</f>
        <v>-11380.900199257685</v>
      </c>
      <c r="J84" s="23"/>
      <c r="K84" s="63"/>
      <c r="L84" s="63"/>
      <c r="M84" s="63"/>
      <c r="N84" s="63"/>
      <c r="O84" s="63"/>
      <c r="P84" s="23"/>
      <c r="Q84" s="417" t="s">
        <v>68</v>
      </c>
      <c r="R84" s="418"/>
      <c r="S84" s="415" t="s">
        <v>95</v>
      </c>
      <c r="T84" s="415"/>
      <c r="U84" s="411" t="s">
        <v>80</v>
      </c>
      <c r="V84" s="411"/>
      <c r="W84" s="23"/>
      <c r="X84" s="23"/>
      <c r="Y84" s="23"/>
      <c r="Z84" s="23"/>
      <c r="AA84" s="23"/>
      <c r="AB84" s="172"/>
      <c r="AC84" s="23"/>
      <c r="AD84" s="23"/>
    </row>
    <row r="85" spans="1:30" ht="18.75" hidden="1" customHeight="1" outlineLevel="1" x14ac:dyDescent="0.25">
      <c r="A85" s="7" t="s">
        <v>55</v>
      </c>
      <c r="B85" s="101" t="s">
        <v>43</v>
      </c>
      <c r="C85" s="59" t="s">
        <v>48</v>
      </c>
      <c r="D85" s="59" t="s">
        <v>47</v>
      </c>
      <c r="E85" s="53" t="s">
        <v>50</v>
      </c>
      <c r="F85" s="59" t="s">
        <v>47</v>
      </c>
      <c r="G85" s="56"/>
      <c r="H85" s="23"/>
      <c r="I85" s="23"/>
      <c r="J85" s="23"/>
      <c r="K85" s="23"/>
      <c r="L85" s="23"/>
      <c r="M85" s="23"/>
      <c r="N85" s="23"/>
      <c r="O85" s="23"/>
      <c r="P85" s="23"/>
      <c r="Q85" s="57">
        <f>H84</f>
        <v>3574.1627032060064</v>
      </c>
      <c r="R85" s="57">
        <f>I84</f>
        <v>-11380.900199257685</v>
      </c>
      <c r="S85" s="57">
        <f>N82</f>
        <v>1983.8297872340424</v>
      </c>
      <c r="T85" s="57">
        <f>T82</f>
        <v>2414.1181137653084</v>
      </c>
      <c r="U85" s="411">
        <f>((Q85-S85)*(T85))/(Q85-R85)</f>
        <v>256.71918094925854</v>
      </c>
      <c r="V85" s="411"/>
      <c r="W85" s="23"/>
      <c r="X85" s="23"/>
      <c r="Y85" s="23"/>
      <c r="Z85" s="23"/>
      <c r="AA85" s="23"/>
      <c r="AB85" s="172"/>
      <c r="AC85" s="23"/>
      <c r="AD85" s="23"/>
    </row>
    <row r="86" spans="1:30" ht="18.75" hidden="1" customHeight="1" outlineLevel="1" x14ac:dyDescent="0.25">
      <c r="A86" s="23"/>
      <c r="B86" s="63">
        <f>J5</f>
        <v>9.5449999999999999</v>
      </c>
      <c r="C86" s="60">
        <v>0</v>
      </c>
      <c r="D86" s="63">
        <f>0.052*B86*C5</f>
        <v>1198.2233845862731</v>
      </c>
      <c r="E86" s="22">
        <v>1.1000000000000001</v>
      </c>
      <c r="F86" s="60">
        <f>E86*D86</f>
        <v>1318.0457230449006</v>
      </c>
      <c r="G86" s="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W86" s="23"/>
      <c r="X86" s="23"/>
      <c r="Y86" s="23"/>
      <c r="Z86" s="23"/>
      <c r="AA86" s="23"/>
      <c r="AB86" s="172"/>
      <c r="AC86" s="23"/>
      <c r="AD86" s="23"/>
    </row>
    <row r="87" spans="1:30" ht="18.75" hidden="1" customHeight="1" outlineLevel="1" x14ac:dyDescent="0.25">
      <c r="A87" s="23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W87" s="23"/>
      <c r="X87" s="23"/>
      <c r="Y87" s="23"/>
      <c r="Z87" s="23"/>
      <c r="AA87" s="23"/>
      <c r="AB87" s="172"/>
      <c r="AC87" s="23"/>
      <c r="AD87" s="23"/>
    </row>
    <row r="88" spans="1:30" ht="18.75" hidden="1" customHeight="1" outlineLevel="1" x14ac:dyDescent="0.25">
      <c r="A88" s="7" t="s">
        <v>49</v>
      </c>
      <c r="B88" s="59" t="s">
        <v>82</v>
      </c>
      <c r="C88" s="59" t="s">
        <v>45</v>
      </c>
      <c r="D88" s="59" t="s">
        <v>44</v>
      </c>
      <c r="E88" s="65" t="s">
        <v>100</v>
      </c>
      <c r="F88" s="65" t="s">
        <v>101</v>
      </c>
      <c r="G88" s="23"/>
      <c r="H88" s="59" t="s">
        <v>45</v>
      </c>
      <c r="I88" s="59" t="s">
        <v>44</v>
      </c>
      <c r="J88" s="23"/>
      <c r="K88" s="58" t="s">
        <v>83</v>
      </c>
      <c r="L88" s="58" t="s">
        <v>84</v>
      </c>
      <c r="M88" s="58" t="s">
        <v>85</v>
      </c>
      <c r="N88" s="58" t="s">
        <v>20</v>
      </c>
      <c r="O88" s="416" t="s">
        <v>86</v>
      </c>
      <c r="P88" s="409"/>
      <c r="Q88" s="79"/>
      <c r="R88" s="56"/>
      <c r="S88" s="431"/>
      <c r="T88" s="431"/>
      <c r="U88" s="23"/>
      <c r="W88" s="23"/>
      <c r="X88" s="23"/>
      <c r="Y88" s="23"/>
      <c r="Z88" s="23"/>
      <c r="AA88" s="23"/>
      <c r="AB88" s="172"/>
      <c r="AC88" s="23"/>
      <c r="AD88" s="23"/>
    </row>
    <row r="89" spans="1:30" ht="18.75" hidden="1" customHeight="1" outlineLevel="1" thickBot="1" x14ac:dyDescent="0.3">
      <c r="A89" s="23"/>
      <c r="B89" s="63">
        <f>J6</f>
        <v>13.280000000000001</v>
      </c>
      <c r="C89" s="60">
        <v>0</v>
      </c>
      <c r="D89" s="60">
        <f>0.052*B89*E89</f>
        <v>13808.755610737566</v>
      </c>
      <c r="E89" s="68">
        <f>(D82)/(0.052*B89)</f>
        <v>19996.460279682524</v>
      </c>
      <c r="F89" s="68">
        <f>C5-E89</f>
        <v>-17582.342165917216</v>
      </c>
      <c r="G89" s="23"/>
      <c r="H89" s="60">
        <f>C86-C89</f>
        <v>0</v>
      </c>
      <c r="I89" s="60">
        <f>IF(B91&gt;C91,B91,C91)</f>
        <v>-9599.5016816944863</v>
      </c>
      <c r="J89" s="23"/>
      <c r="K89" s="57">
        <f>H89</f>
        <v>0</v>
      </c>
      <c r="L89" s="57">
        <f>I89</f>
        <v>-9599.5016816944863</v>
      </c>
      <c r="M89" s="57">
        <v>1040</v>
      </c>
      <c r="N89" s="57">
        <f>C5</f>
        <v>2414.1181137653084</v>
      </c>
      <c r="O89" s="57">
        <f>N89-(((N89)*(L89-M89))/L89)</f>
        <v>-261.54303854163618</v>
      </c>
      <c r="P89" s="78" t="s">
        <v>99</v>
      </c>
      <c r="Q89" s="80"/>
      <c r="R89" s="25"/>
      <c r="S89" s="25"/>
      <c r="T89" s="3"/>
      <c r="U89" s="23"/>
      <c r="W89" s="23"/>
      <c r="X89" s="23"/>
      <c r="Y89" s="23"/>
      <c r="Z89" s="23"/>
      <c r="AA89" s="23"/>
      <c r="AB89" s="172"/>
      <c r="AC89" s="23"/>
      <c r="AD89" s="23"/>
    </row>
    <row r="90" spans="1:30" ht="18.75" hidden="1" customHeight="1" outlineLevel="1" x14ac:dyDescent="0.25">
      <c r="A90" s="23"/>
      <c r="B90" s="65" t="s">
        <v>102</v>
      </c>
      <c r="C90" s="77" t="s">
        <v>119</v>
      </c>
      <c r="D90" s="23"/>
      <c r="E90" s="23"/>
      <c r="F90" s="23"/>
      <c r="G90" s="23"/>
      <c r="H90" s="61" t="s">
        <v>68</v>
      </c>
      <c r="I90" s="61" t="s">
        <v>68</v>
      </c>
      <c r="J90" s="23"/>
      <c r="K90" s="57"/>
      <c r="L90" s="57"/>
      <c r="M90" s="57"/>
      <c r="N90" s="57"/>
      <c r="O90" s="57"/>
      <c r="P90" s="67"/>
      <c r="Q90" s="23"/>
      <c r="R90" s="25"/>
      <c r="S90" s="25"/>
      <c r="T90" s="186"/>
      <c r="U90" s="160" t="s">
        <v>91</v>
      </c>
      <c r="V90" s="160" t="s">
        <v>92</v>
      </c>
      <c r="W90" s="160" t="s">
        <v>88</v>
      </c>
      <c r="X90" s="160" t="s">
        <v>59</v>
      </c>
      <c r="Y90" s="160" t="s">
        <v>93</v>
      </c>
      <c r="Z90" s="161" t="s">
        <v>253</v>
      </c>
      <c r="AA90" s="161" t="s">
        <v>327</v>
      </c>
      <c r="AB90" s="172"/>
      <c r="AC90" s="23"/>
      <c r="AD90" s="23"/>
    </row>
    <row r="91" spans="1:30" ht="18.75" hidden="1" customHeight="1" outlineLevel="1" thickBot="1" x14ac:dyDescent="0.3">
      <c r="A91" s="23"/>
      <c r="B91" s="68">
        <f>(F86*F89)/C5</f>
        <v>-9599.5016816944863</v>
      </c>
      <c r="C91" s="68">
        <f>F86-D82</f>
        <v>-12490.709887692663</v>
      </c>
      <c r="D91" s="23"/>
      <c r="E91" s="23"/>
      <c r="F91" s="23"/>
      <c r="G91" s="23"/>
      <c r="H91" s="63">
        <v>0</v>
      </c>
      <c r="I91" s="63">
        <f>I89*E102+I89</f>
        <v>-9791.4917153283768</v>
      </c>
      <c r="J91" s="23"/>
      <c r="K91" s="57"/>
      <c r="L91" s="57"/>
      <c r="M91" s="57"/>
      <c r="N91" s="57"/>
      <c r="O91" s="71"/>
      <c r="P91" s="67"/>
      <c r="Q91" s="23"/>
      <c r="R91" s="25"/>
      <c r="S91" s="25"/>
      <c r="T91" s="188" t="s">
        <v>89</v>
      </c>
      <c r="U91" s="167">
        <v>0</v>
      </c>
      <c r="V91" s="165">
        <f>N89</f>
        <v>2414.1181137653084</v>
      </c>
      <c r="W91" s="167">
        <f>V91-U91</f>
        <v>2414.1181137653084</v>
      </c>
      <c r="X91" s="167" t="s">
        <v>99</v>
      </c>
      <c r="Y91" s="167" t="s">
        <v>252</v>
      </c>
      <c r="Z91" s="168">
        <v>307000</v>
      </c>
      <c r="AA91" s="168">
        <f>F94</f>
        <v>11.084</v>
      </c>
      <c r="AB91" s="172"/>
      <c r="AC91" s="23"/>
      <c r="AD91" s="23"/>
    </row>
    <row r="92" spans="1:30" ht="18.75" hidden="1" customHeight="1" outlineLevel="1" x14ac:dyDescent="0.25">
      <c r="A92" s="23"/>
      <c r="B92" s="23"/>
      <c r="C92" s="23"/>
      <c r="D92" s="23"/>
      <c r="E92" s="23"/>
      <c r="F92" s="23"/>
      <c r="G92" s="23"/>
      <c r="H92" s="23"/>
      <c r="I92" s="23"/>
      <c r="J92" s="23"/>
      <c r="K92" s="417" t="s">
        <v>68</v>
      </c>
      <c r="L92" s="432"/>
      <c r="M92" s="415" t="s">
        <v>95</v>
      </c>
      <c r="N92" s="415"/>
      <c r="O92" s="23"/>
      <c r="P92" s="23"/>
      <c r="Q92" s="23"/>
      <c r="R92" s="25"/>
      <c r="S92" s="3"/>
      <c r="T92" s="23"/>
      <c r="U92" s="185"/>
      <c r="V92" s="169"/>
      <c r="W92" s="171"/>
      <c r="X92" s="169"/>
      <c r="Y92" s="169"/>
      <c r="Z92" s="169"/>
      <c r="AA92" s="169"/>
      <c r="AB92" s="172"/>
      <c r="AC92" s="23"/>
      <c r="AD92" s="23"/>
    </row>
    <row r="93" spans="1:30" ht="18.75" hidden="1" customHeight="1" outlineLevel="1" x14ac:dyDescent="0.25">
      <c r="A93" s="7" t="s">
        <v>57</v>
      </c>
      <c r="B93" s="59" t="s">
        <v>59</v>
      </c>
      <c r="C93" s="59" t="s">
        <v>58</v>
      </c>
      <c r="D93" s="59" t="s">
        <v>94</v>
      </c>
      <c r="E93" s="59" t="s">
        <v>61</v>
      </c>
      <c r="F93" s="17" t="s">
        <v>54</v>
      </c>
      <c r="G93" s="62" t="s">
        <v>52</v>
      </c>
      <c r="H93" s="59" t="s">
        <v>29</v>
      </c>
      <c r="I93" s="59" t="s">
        <v>31</v>
      </c>
      <c r="J93" s="23"/>
      <c r="K93" s="57">
        <f>K91</f>
        <v>0</v>
      </c>
      <c r="L93" s="57">
        <f>I91</f>
        <v>-9791.4917153283768</v>
      </c>
      <c r="M93" s="57">
        <f>M89</f>
        <v>1040</v>
      </c>
      <c r="N93" s="57">
        <f>N89</f>
        <v>2414.1181137653084</v>
      </c>
      <c r="O93" s="411">
        <f>N93-(((N93)*(L93-M93))/L93)</f>
        <v>-256.4147436682706</v>
      </c>
      <c r="P93" s="411"/>
      <c r="Q93" s="23"/>
      <c r="R93" s="23"/>
      <c r="S93" s="23"/>
      <c r="T93" s="23"/>
      <c r="U93" s="23"/>
      <c r="W93" s="23"/>
      <c r="X93" s="23"/>
      <c r="Y93" s="23"/>
      <c r="Z93" s="23"/>
      <c r="AA93" s="23"/>
      <c r="AB93" s="172"/>
      <c r="AC93" s="23"/>
      <c r="AD93" s="23"/>
    </row>
    <row r="94" spans="1:30" ht="18.75" hidden="1" customHeight="1" outlineLevel="1" x14ac:dyDescent="0.25">
      <c r="A94" s="23"/>
      <c r="B94" s="68" t="s">
        <v>99</v>
      </c>
      <c r="C94" s="63">
        <v>42</v>
      </c>
      <c r="D94" s="15">
        <f>C5</f>
        <v>2414.1181137653084</v>
      </c>
      <c r="E94" s="15">
        <f>D94*C94</f>
        <v>101392.96077814295</v>
      </c>
      <c r="F94" s="63">
        <v>11.084</v>
      </c>
      <c r="G94" s="63">
        <v>0.33300000000000002</v>
      </c>
      <c r="H94" s="63">
        <f>2*G94+F94</f>
        <v>11.75</v>
      </c>
      <c r="I94" s="63">
        <f>(3.14159/4)*(H94^2-F94^2)</f>
        <v>11.943888498990008</v>
      </c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W94" s="23"/>
      <c r="X94" s="23"/>
      <c r="Y94" s="23"/>
      <c r="Z94" s="23"/>
      <c r="AA94" s="23"/>
      <c r="AB94" s="172"/>
      <c r="AC94" s="23"/>
      <c r="AD94" s="23"/>
    </row>
    <row r="95" spans="1:30" ht="18.75" hidden="1" customHeight="1" outlineLevel="1" x14ac:dyDescent="0.25">
      <c r="A95" s="23"/>
      <c r="B95" s="59" t="s">
        <v>59</v>
      </c>
      <c r="C95" s="59" t="s">
        <v>58</v>
      </c>
      <c r="D95" s="59" t="s">
        <v>94</v>
      </c>
      <c r="E95" s="59" t="s">
        <v>61</v>
      </c>
      <c r="F95" s="17" t="s">
        <v>54</v>
      </c>
      <c r="G95" s="62" t="s">
        <v>52</v>
      </c>
      <c r="H95" s="59" t="s">
        <v>29</v>
      </c>
      <c r="I95" s="59" t="s">
        <v>31</v>
      </c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W95" s="23"/>
      <c r="X95" s="23"/>
      <c r="Y95" s="23"/>
      <c r="Z95" s="23"/>
      <c r="AA95" s="23"/>
      <c r="AB95" s="172"/>
      <c r="AC95" s="23"/>
      <c r="AD95" s="23"/>
    </row>
    <row r="96" spans="1:30" ht="18.75" hidden="1" customHeight="1" outlineLevel="1" x14ac:dyDescent="0.25">
      <c r="A96" s="23"/>
      <c r="B96" s="63"/>
      <c r="C96" s="63"/>
      <c r="D96" s="15"/>
      <c r="E96" s="15"/>
      <c r="F96" s="63"/>
      <c r="G96" s="63"/>
      <c r="H96" s="63"/>
      <c r="I96" s="6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W96" s="23"/>
      <c r="X96" s="23"/>
      <c r="Y96" s="23"/>
      <c r="Z96" s="23"/>
      <c r="AA96" s="23"/>
      <c r="AB96" s="172"/>
      <c r="AC96" s="23"/>
      <c r="AD96" s="23"/>
    </row>
    <row r="97" spans="1:102" ht="18.75" hidden="1" customHeight="1" outlineLevel="1" x14ac:dyDescent="0.25">
      <c r="A97" s="23"/>
      <c r="B97" s="26" t="s">
        <v>65</v>
      </c>
      <c r="C97" s="59" t="s">
        <v>64</v>
      </c>
      <c r="D97" s="29" t="s">
        <v>28</v>
      </c>
      <c r="E97" s="59" t="s">
        <v>66</v>
      </c>
      <c r="F97" s="59" t="s">
        <v>67</v>
      </c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W97" s="23"/>
      <c r="X97" s="23"/>
      <c r="Y97" s="23"/>
      <c r="Z97" s="23"/>
      <c r="AA97" s="23"/>
      <c r="AB97" s="172"/>
      <c r="AC97" s="23"/>
      <c r="AD97" s="23"/>
    </row>
    <row r="98" spans="1:102" ht="18.75" hidden="1" customHeight="1" outlineLevel="1" x14ac:dyDescent="0.25">
      <c r="A98" s="23"/>
      <c r="B98" s="15">
        <f>K5*I94</f>
        <v>14311.446502380868</v>
      </c>
      <c r="C98" s="15">
        <f>E94-B98</f>
        <v>87081.514275762078</v>
      </c>
      <c r="D98" s="63">
        <v>40000</v>
      </c>
      <c r="E98" s="28">
        <f>(B98/I94)/D98</f>
        <v>2.9955584614656829E-2</v>
      </c>
      <c r="F98" s="28">
        <f>(C98/I94)/D98</f>
        <v>0.18227211825346037</v>
      </c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W98" s="23"/>
      <c r="X98" s="23"/>
      <c r="Y98" s="23"/>
      <c r="Z98" s="23"/>
      <c r="AA98" s="23"/>
      <c r="AB98" s="172"/>
      <c r="AC98" s="23"/>
      <c r="AD98" s="23"/>
    </row>
    <row r="99" spans="1:102" ht="18.75" hidden="1" customHeight="1" outlineLevel="1" x14ac:dyDescent="0.25">
      <c r="A99" s="23"/>
      <c r="B99" s="23"/>
      <c r="C99" s="23"/>
      <c r="D99" s="23"/>
      <c r="E99" s="59" t="s">
        <v>62</v>
      </c>
      <c r="F99" s="59" t="s">
        <v>62</v>
      </c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W99" s="23"/>
      <c r="X99" s="23"/>
      <c r="Y99" s="23"/>
      <c r="Z99" s="23"/>
      <c r="AA99" s="23"/>
      <c r="AB99" s="172"/>
      <c r="AC99" s="23"/>
      <c r="AD99" s="23"/>
    </row>
    <row r="100" spans="1:102" ht="18.75" hidden="1" customHeight="1" outlineLevel="1" x14ac:dyDescent="0.25">
      <c r="A100" s="23"/>
      <c r="B100" s="23"/>
      <c r="C100" s="23"/>
      <c r="D100" s="23"/>
      <c r="E100" s="28">
        <v>0.02</v>
      </c>
      <c r="F100" s="28">
        <v>0.09</v>
      </c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W100" s="23"/>
      <c r="X100" s="23"/>
      <c r="Y100" s="23"/>
      <c r="Z100" s="23"/>
      <c r="AA100" s="23"/>
      <c r="AB100" s="172"/>
      <c r="AC100" s="23"/>
      <c r="AD100" s="23"/>
      <c r="CV100" s="1">
        <v>1</v>
      </c>
      <c r="CW100" s="1">
        <v>1</v>
      </c>
      <c r="CX100" s="1">
        <v>1</v>
      </c>
    </row>
    <row r="101" spans="1:102" ht="18.75" hidden="1" customHeight="1" outlineLevel="1" x14ac:dyDescent="0.25">
      <c r="A101" s="23"/>
      <c r="B101" s="23"/>
      <c r="C101" s="23"/>
      <c r="D101" s="23"/>
      <c r="E101" s="59" t="s">
        <v>63</v>
      </c>
      <c r="F101" s="59" t="s">
        <v>63</v>
      </c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W101" s="23"/>
      <c r="X101" s="23"/>
      <c r="Y101" s="23"/>
      <c r="Z101" s="23"/>
      <c r="AA101" s="23"/>
      <c r="AB101" s="172"/>
      <c r="AC101" s="23"/>
      <c r="AD101" s="23"/>
    </row>
    <row r="102" spans="1:102" ht="18.75" hidden="1" customHeight="1" outlineLevel="1" x14ac:dyDescent="0.25">
      <c r="A102" s="23"/>
      <c r="B102" s="23"/>
      <c r="C102" s="23"/>
      <c r="D102" s="23"/>
      <c r="E102" s="28">
        <v>0.02</v>
      </c>
      <c r="F102" s="28">
        <v>0.13</v>
      </c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W102" s="23"/>
      <c r="X102" s="23"/>
      <c r="Y102" s="23"/>
      <c r="Z102" s="23"/>
      <c r="AA102" s="23"/>
      <c r="AB102" s="172"/>
      <c r="AC102" s="23"/>
      <c r="AD102" s="23"/>
    </row>
    <row r="103" spans="1:102" ht="18.75" hidden="1" customHeight="1" outlineLevel="1" x14ac:dyDescent="0.25">
      <c r="AB103" s="172"/>
    </row>
    <row r="104" spans="1:102" ht="18.75" hidden="1" customHeight="1" outlineLevel="1" x14ac:dyDescent="0.2">
      <c r="A104" s="7" t="s">
        <v>115</v>
      </c>
      <c r="B104" s="88" t="s">
        <v>103</v>
      </c>
      <c r="C104" s="89" t="s">
        <v>104</v>
      </c>
      <c r="D104" s="89" t="s">
        <v>105</v>
      </c>
      <c r="E104" s="90" t="s">
        <v>106</v>
      </c>
      <c r="F104" s="90" t="s">
        <v>113</v>
      </c>
      <c r="G104" s="89" t="s">
        <v>107</v>
      </c>
      <c r="H104" s="89" t="s">
        <v>108</v>
      </c>
      <c r="I104" s="89" t="s">
        <v>109</v>
      </c>
      <c r="J104" s="90" t="s">
        <v>110</v>
      </c>
      <c r="AB104" s="172"/>
    </row>
    <row r="105" spans="1:102" ht="18.75" hidden="1" customHeight="1" outlineLevel="1" x14ac:dyDescent="0.2">
      <c r="B105" s="91">
        <v>40</v>
      </c>
      <c r="C105" s="91">
        <f>F94</f>
        <v>11.084</v>
      </c>
      <c r="D105" s="91">
        <f>G94</f>
        <v>0.33300000000000002</v>
      </c>
      <c r="E105" s="91">
        <v>3.8</v>
      </c>
      <c r="F105" s="91">
        <f>218*(C105+2*D105)*(E105)</f>
        <v>9733.6999999999989</v>
      </c>
      <c r="G105" s="91">
        <f>(3.14159/64)*(((C105+2*D105)^4)-C105^4)</f>
        <v>194.77313726831136</v>
      </c>
      <c r="H105" s="91">
        <f>E94+E96-B98</f>
        <v>87081.514275762078</v>
      </c>
      <c r="I105" s="92">
        <f>((H105/(G105*30000000))^0.5)</f>
        <v>3.8604490857718724E-3</v>
      </c>
      <c r="J105" s="91">
        <f>(F105*6*I105*B105)/(TANH((6*I105*B105)))</f>
        <v>12371.501301127097</v>
      </c>
      <c r="AB105" s="172"/>
    </row>
    <row r="106" spans="1:102" ht="18.75" hidden="1" customHeight="1" outlineLevel="1" x14ac:dyDescent="0.2">
      <c r="B106" s="89" t="s">
        <v>29</v>
      </c>
      <c r="C106" s="89" t="s">
        <v>31</v>
      </c>
      <c r="D106" s="89" t="s">
        <v>111</v>
      </c>
      <c r="E106" s="90" t="s">
        <v>112</v>
      </c>
      <c r="F106" s="89" t="s">
        <v>114</v>
      </c>
      <c r="G106" s="411" t="str">
        <f>IF(J107&lt;E107,"We ignore bending effect!","Bending is effective")</f>
        <v>We ignore bending effect!</v>
      </c>
      <c r="H106" s="411"/>
      <c r="I106" s="93"/>
      <c r="J106" s="89" t="s">
        <v>114</v>
      </c>
      <c r="AB106" s="172"/>
    </row>
    <row r="107" spans="1:102" ht="18.75" hidden="1" customHeight="1" outlineLevel="1" x14ac:dyDescent="0.2">
      <c r="B107" s="91">
        <f>C105+2*D105</f>
        <v>11.75</v>
      </c>
      <c r="C107" s="91">
        <f>(3.14159/4)*(B107^2-C105^2)</f>
        <v>11.943888498990008</v>
      </c>
      <c r="D107" s="91">
        <f>H105/C107</f>
        <v>7290.8847301384149</v>
      </c>
      <c r="E107" s="91">
        <v>40000</v>
      </c>
      <c r="F107" s="91">
        <f>F105+D107</f>
        <v>17024.584730138413</v>
      </c>
      <c r="G107" s="411"/>
      <c r="H107" s="411"/>
      <c r="I107" s="93"/>
      <c r="J107" s="91">
        <f>J105+D107</f>
        <v>19662.386031265512</v>
      </c>
      <c r="AB107" s="172"/>
    </row>
    <row r="108" spans="1:102" ht="18.75" hidden="1" customHeight="1" outlineLevel="1" x14ac:dyDescent="0.25">
      <c r="AB108" s="172"/>
    </row>
    <row r="109" spans="1:102" s="9" customFormat="1" ht="18.75" customHeight="1" collapsed="1" x14ac:dyDescent="0.25">
      <c r="A109" s="201"/>
      <c r="B109" s="201"/>
      <c r="C109" s="201"/>
      <c r="D109" s="201"/>
      <c r="E109" s="201"/>
      <c r="F109" s="201"/>
      <c r="G109" s="201"/>
      <c r="H109" s="201"/>
      <c r="I109" s="201"/>
      <c r="J109" s="201"/>
      <c r="K109" s="201"/>
      <c r="L109" s="201"/>
      <c r="M109" s="201"/>
      <c r="N109" s="201"/>
      <c r="O109" s="201"/>
      <c r="P109" s="201"/>
      <c r="Q109" s="201"/>
      <c r="R109" s="201"/>
      <c r="S109" s="201"/>
      <c r="T109" s="201"/>
      <c r="U109" s="201"/>
      <c r="V109" s="201"/>
      <c r="W109" s="201"/>
      <c r="X109" s="201"/>
      <c r="Y109" s="201"/>
      <c r="Z109" s="201"/>
      <c r="AA109" s="201"/>
      <c r="AB109" s="172"/>
    </row>
    <row r="110" spans="1:102" ht="18.75" customHeight="1" x14ac:dyDescent="0.25">
      <c r="AB110" s="172"/>
    </row>
    <row r="111" spans="1:102" ht="18.75" customHeight="1" x14ac:dyDescent="0.25">
      <c r="A111" s="421" t="s">
        <v>131</v>
      </c>
      <c r="B111" s="421"/>
      <c r="C111" s="421"/>
      <c r="D111" s="421"/>
      <c r="E111" s="421"/>
      <c r="F111" s="421"/>
      <c r="G111" s="184" t="s">
        <v>258</v>
      </c>
      <c r="H111" s="184" t="s">
        <v>258</v>
      </c>
      <c r="I111" s="184" t="s">
        <v>258</v>
      </c>
      <c r="J111" s="184" t="s">
        <v>258</v>
      </c>
      <c r="K111" s="184" t="s">
        <v>258</v>
      </c>
      <c r="L111" s="184" t="s">
        <v>258</v>
      </c>
      <c r="M111" s="184" t="s">
        <v>258</v>
      </c>
      <c r="N111" s="184" t="s">
        <v>258</v>
      </c>
      <c r="O111" s="184" t="s">
        <v>258</v>
      </c>
      <c r="P111" s="184" t="s">
        <v>258</v>
      </c>
      <c r="Q111" s="184" t="s">
        <v>258</v>
      </c>
      <c r="R111" s="184" t="s">
        <v>258</v>
      </c>
      <c r="S111" s="184" t="s">
        <v>258</v>
      </c>
      <c r="T111" s="184" t="s">
        <v>258</v>
      </c>
      <c r="U111" s="184" t="s">
        <v>258</v>
      </c>
      <c r="V111" s="184" t="s">
        <v>258</v>
      </c>
      <c r="W111" s="184" t="s">
        <v>258</v>
      </c>
      <c r="X111" s="184" t="s">
        <v>258</v>
      </c>
      <c r="Y111" s="184" t="s">
        <v>258</v>
      </c>
      <c r="Z111" s="184" t="s">
        <v>258</v>
      </c>
      <c r="AA111" s="184" t="s">
        <v>258</v>
      </c>
      <c r="AB111" s="184" t="s">
        <v>258</v>
      </c>
    </row>
    <row r="112" spans="1:102" ht="18.75" hidden="1" customHeight="1" outlineLevel="1" x14ac:dyDescent="0.25">
      <c r="A112" s="23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W112" s="23"/>
      <c r="X112" s="23"/>
      <c r="Y112" s="23"/>
      <c r="Z112" s="23"/>
      <c r="AA112" s="23"/>
      <c r="AB112" s="172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</row>
    <row r="113" spans="1:42" ht="18.75" hidden="1" customHeight="1" outlineLevel="1" x14ac:dyDescent="0.25">
      <c r="A113" s="11" t="s">
        <v>51</v>
      </c>
      <c r="B113" s="74" t="s">
        <v>74</v>
      </c>
      <c r="C113" s="23"/>
      <c r="D113" s="74" t="s">
        <v>116</v>
      </c>
      <c r="E113" s="74" t="s">
        <v>117</v>
      </c>
      <c r="F113" s="52"/>
      <c r="G113" s="74" t="s">
        <v>75</v>
      </c>
      <c r="H113" s="415" t="s">
        <v>44</v>
      </c>
      <c r="I113" s="415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W113" s="23"/>
      <c r="X113" s="23"/>
      <c r="Y113" s="23"/>
      <c r="Z113" s="23"/>
      <c r="AA113" s="23"/>
      <c r="AB113" s="172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</row>
    <row r="114" spans="1:42" ht="18.75" hidden="1" customHeight="1" outlineLevel="1" x14ac:dyDescent="0.25">
      <c r="A114" s="8"/>
      <c r="B114" s="76">
        <f>0.052*(D6*8.3+1)*C6</f>
        <v>2460.6176272594398</v>
      </c>
      <c r="C114" s="23"/>
      <c r="D114" s="15">
        <v>-13668.635235921354</v>
      </c>
      <c r="E114" s="15">
        <v>16518.525006759057</v>
      </c>
      <c r="F114" s="51" t="str">
        <f>IF(D114&lt;0,"thus assume gas colume","")</f>
        <v>thus assume gas colume</v>
      </c>
      <c r="G114" s="119">
        <f>B114-I6</f>
        <v>2132.8803036131039</v>
      </c>
      <c r="H114" s="422">
        <f>B114</f>
        <v>2460.6176272594398</v>
      </c>
      <c r="I114" s="422"/>
      <c r="K114" s="81" t="s">
        <v>122</v>
      </c>
      <c r="L114" s="81" t="s">
        <v>121</v>
      </c>
      <c r="M114" s="81" t="s">
        <v>123</v>
      </c>
      <c r="N114" s="23"/>
      <c r="O114" s="23"/>
      <c r="P114" s="23"/>
      <c r="Q114" s="23"/>
      <c r="R114" s="23"/>
      <c r="S114" s="23"/>
      <c r="T114" s="23"/>
      <c r="U114" s="23"/>
      <c r="W114" s="23"/>
      <c r="X114" s="23"/>
      <c r="Y114" s="23"/>
      <c r="Z114" s="23"/>
      <c r="AA114" s="23"/>
      <c r="AB114" s="172"/>
      <c r="AC114" s="23"/>
      <c r="AD114" s="23"/>
      <c r="AE114" s="23"/>
      <c r="AF114" s="23"/>
      <c r="AG114" s="23"/>
      <c r="AH114" s="23"/>
      <c r="AI114" s="23"/>
      <c r="AJ114" s="23"/>
      <c r="AK114" s="23"/>
      <c r="AL114" s="23"/>
      <c r="AM114" s="23"/>
      <c r="AN114" s="23"/>
      <c r="AO114" s="23"/>
      <c r="AP114" s="23"/>
    </row>
    <row r="115" spans="1:42" ht="18.75" hidden="1" customHeight="1" outlineLevel="1" x14ac:dyDescent="0.25">
      <c r="A115" s="23"/>
      <c r="B115" s="23"/>
      <c r="C115" s="23"/>
      <c r="D115" s="23"/>
      <c r="E115" s="23"/>
      <c r="F115" s="23"/>
      <c r="G115" s="23"/>
      <c r="H115" s="53" t="s">
        <v>50</v>
      </c>
      <c r="I115" s="10">
        <v>1.1000000000000001</v>
      </c>
      <c r="K115" s="84">
        <v>100</v>
      </c>
      <c r="L115" s="69">
        <f>C5-K115</f>
        <v>2314.1181137653084</v>
      </c>
      <c r="M115" s="69">
        <f>C6-L115</f>
        <v>535.7716570723951</v>
      </c>
      <c r="N115" s="23"/>
      <c r="O115" s="23"/>
      <c r="P115" s="23"/>
      <c r="Q115" s="23"/>
      <c r="R115" s="23"/>
      <c r="S115" s="23"/>
      <c r="T115" s="23"/>
      <c r="U115" s="23"/>
      <c r="W115" s="23"/>
      <c r="X115" s="23"/>
      <c r="Y115" s="23"/>
      <c r="Z115" s="23"/>
      <c r="AA115" s="23"/>
      <c r="AB115" s="172"/>
      <c r="AC115" s="23"/>
      <c r="AD115" s="23"/>
      <c r="AE115" s="23"/>
      <c r="AF115" s="23"/>
      <c r="AG115" s="23"/>
      <c r="AH115" s="23"/>
      <c r="AI115" s="23"/>
      <c r="AJ115" s="23"/>
      <c r="AK115" s="23"/>
      <c r="AL115" s="23"/>
      <c r="AM115" s="23"/>
      <c r="AN115" s="23"/>
      <c r="AO115" s="23"/>
      <c r="AP115" s="23"/>
    </row>
    <row r="116" spans="1:42" ht="18.75" hidden="1" customHeight="1" outlineLevel="1" x14ac:dyDescent="0.25">
      <c r="A116" s="7" t="s">
        <v>49</v>
      </c>
      <c r="B116" s="74" t="s">
        <v>46</v>
      </c>
      <c r="C116" s="74" t="s">
        <v>45</v>
      </c>
      <c r="D116" s="74" t="s">
        <v>44</v>
      </c>
      <c r="E116" s="23"/>
      <c r="F116" s="74" t="s">
        <v>75</v>
      </c>
      <c r="G116" s="74" t="s">
        <v>44</v>
      </c>
      <c r="H116" s="74" t="s">
        <v>75</v>
      </c>
      <c r="I116" s="74" t="s">
        <v>44</v>
      </c>
      <c r="K116" s="100" t="s">
        <v>120</v>
      </c>
      <c r="L116" s="81" t="s">
        <v>44</v>
      </c>
      <c r="P116" s="74" t="s">
        <v>54</v>
      </c>
      <c r="Q116" s="17" t="s">
        <v>28</v>
      </c>
      <c r="R116" s="83" t="s">
        <v>52</v>
      </c>
      <c r="S116" s="81" t="s">
        <v>53</v>
      </c>
      <c r="T116" s="81"/>
      <c r="U116" s="23"/>
      <c r="V116" s="149" t="s">
        <v>76</v>
      </c>
      <c r="W116" s="85" t="s">
        <v>77</v>
      </c>
      <c r="X116" s="85" t="s">
        <v>78</v>
      </c>
      <c r="Y116" s="85" t="s">
        <v>20</v>
      </c>
      <c r="Z116" s="409" t="s">
        <v>79</v>
      </c>
      <c r="AA116" s="410"/>
      <c r="AB116" s="172"/>
      <c r="AC116" s="23"/>
      <c r="AD116" s="23"/>
      <c r="AE116" s="23"/>
      <c r="AF116" s="23"/>
      <c r="AG116" s="23"/>
      <c r="AH116" s="23"/>
      <c r="AI116" s="23"/>
      <c r="AJ116" s="23"/>
      <c r="AK116" s="23"/>
      <c r="AL116" s="23"/>
      <c r="AM116" s="23"/>
      <c r="AN116" s="23"/>
      <c r="AO116" s="23"/>
      <c r="AP116" s="23"/>
    </row>
    <row r="117" spans="1:42" ht="18.75" hidden="1" customHeight="1" outlineLevel="1" x14ac:dyDescent="0.25">
      <c r="A117" s="23"/>
      <c r="B117" s="76">
        <v>9</v>
      </c>
      <c r="C117" s="119">
        <v>0</v>
      </c>
      <c r="D117" s="119">
        <f>0.052*B117*C6</f>
        <v>1333.7484127520452</v>
      </c>
      <c r="E117" s="23"/>
      <c r="F117" s="76">
        <f>G114-C117</f>
        <v>2132.8803036131039</v>
      </c>
      <c r="G117" s="76">
        <f>H114-D117</f>
        <v>1126.8692145073946</v>
      </c>
      <c r="H117" s="118">
        <f>F117*I115</f>
        <v>2346.1683339744145</v>
      </c>
      <c r="I117" s="118">
        <f>G117*I115</f>
        <v>1239.5561359581343</v>
      </c>
      <c r="J117" s="23"/>
      <c r="K117" s="87">
        <f>(H117)-((L115)*(H117-I117)/(C6))</f>
        <v>1447.5962703993453</v>
      </c>
      <c r="L117" s="87">
        <f>I117</f>
        <v>1239.5561359581343</v>
      </c>
      <c r="P117" s="76">
        <v>9.0009999999999994</v>
      </c>
      <c r="Q117" s="76">
        <v>40000</v>
      </c>
      <c r="R117" s="84">
        <v>0.312</v>
      </c>
      <c r="S117" s="84">
        <f>(0.875*2*Q117*R117)/(2*R117+P117)</f>
        <v>2269.090909090909</v>
      </c>
      <c r="T117" s="82" t="s">
        <v>118</v>
      </c>
      <c r="U117" s="23"/>
      <c r="V117" s="150">
        <f>K117</f>
        <v>1447.5962703993453</v>
      </c>
      <c r="W117" s="86">
        <f>I117</f>
        <v>1239.5561359581343</v>
      </c>
      <c r="X117" s="86">
        <f>S117</f>
        <v>2269.090909090909</v>
      </c>
      <c r="Y117" s="86">
        <f>C6</f>
        <v>2849.8897708377035</v>
      </c>
      <c r="Z117" s="86">
        <f>((V117-X117)*(Y117))/(V117-W117)</f>
        <v>-11253.449599489093</v>
      </c>
      <c r="AA117" s="86"/>
      <c r="AB117" s="172"/>
      <c r="AC117" s="23"/>
      <c r="AD117" s="23"/>
      <c r="AE117" s="23"/>
      <c r="AF117" s="23"/>
      <c r="AG117" s="23"/>
      <c r="AH117" s="23"/>
      <c r="AI117" s="23"/>
      <c r="AJ117" s="23"/>
      <c r="AK117" s="23"/>
      <c r="AL117" s="23"/>
      <c r="AM117" s="23"/>
      <c r="AN117" s="23"/>
      <c r="AO117" s="23"/>
      <c r="AP117" s="23"/>
    </row>
    <row r="118" spans="1:42" ht="18.75" hidden="1" customHeight="1" outlineLevel="1" x14ac:dyDescent="0.25">
      <c r="A118" s="23"/>
      <c r="B118" s="23"/>
      <c r="C118" s="23"/>
      <c r="D118" s="23"/>
      <c r="E118" s="23"/>
      <c r="F118" s="23"/>
      <c r="G118" s="23"/>
      <c r="H118" s="73" t="s">
        <v>68</v>
      </c>
      <c r="I118" s="75" t="s">
        <v>68</v>
      </c>
      <c r="J118" s="23"/>
      <c r="K118" s="103" t="s">
        <v>68</v>
      </c>
      <c r="L118" s="103" t="s">
        <v>68</v>
      </c>
      <c r="P118" s="10"/>
      <c r="Q118" s="10"/>
      <c r="R118" s="10"/>
      <c r="S118" s="10"/>
      <c r="T118" s="83"/>
      <c r="U118" s="23"/>
      <c r="V118" s="150"/>
      <c r="W118" s="86"/>
      <c r="X118" s="86"/>
      <c r="Y118" s="86"/>
      <c r="Z118" s="86"/>
      <c r="AA118" s="86"/>
      <c r="AB118" s="172"/>
      <c r="AC118" s="23"/>
      <c r="AD118" s="23"/>
      <c r="AE118" s="23"/>
      <c r="AF118" s="23"/>
      <c r="AG118" s="23"/>
      <c r="AH118" s="23"/>
      <c r="AI118" s="23"/>
      <c r="AJ118" s="23"/>
      <c r="AK118" s="23"/>
      <c r="AL118" s="23"/>
      <c r="AM118" s="23"/>
      <c r="AN118" s="23"/>
      <c r="AO118" s="23"/>
      <c r="AP118" s="23"/>
    </row>
    <row r="119" spans="1:42" ht="18.75" hidden="1" customHeight="1" outlineLevel="1" x14ac:dyDescent="0.25">
      <c r="A119" s="23"/>
      <c r="B119" s="23"/>
      <c r="C119" s="23"/>
      <c r="D119" s="23"/>
      <c r="E119" s="23"/>
      <c r="F119" s="23"/>
      <c r="G119" s="23"/>
      <c r="H119" s="106">
        <f>H117*F137+H117</f>
        <v>2346.1683339744145</v>
      </c>
      <c r="I119" s="76">
        <f>I117-(I117*E137)</f>
        <v>1214.7650132389715</v>
      </c>
      <c r="J119" s="23"/>
      <c r="K119" s="106">
        <f>(H119)-((L115)*(H117-I117)/(C6))</f>
        <v>1447.5962703993453</v>
      </c>
      <c r="L119" s="106">
        <f>I119</f>
        <v>1214.7650132389715</v>
      </c>
      <c r="P119" s="76"/>
      <c r="Q119" s="76"/>
      <c r="R119" s="84"/>
      <c r="S119" s="84"/>
      <c r="T119" s="84"/>
      <c r="U119" s="23"/>
      <c r="V119" s="417" t="s">
        <v>68</v>
      </c>
      <c r="W119" s="418"/>
      <c r="X119" s="419" t="s">
        <v>95</v>
      </c>
      <c r="Y119" s="420"/>
      <c r="Z119" s="86" t="s">
        <v>80</v>
      </c>
      <c r="AA119" s="86"/>
      <c r="AB119" s="172"/>
      <c r="AC119" s="23"/>
      <c r="AD119" s="23"/>
      <c r="AE119" s="23"/>
      <c r="AF119" s="23"/>
      <c r="AG119" s="23"/>
      <c r="AH119" s="23"/>
      <c r="AI119" s="23"/>
      <c r="AJ119" s="23"/>
      <c r="AK119" s="23"/>
      <c r="AL119" s="23"/>
      <c r="AM119" s="23"/>
      <c r="AN119" s="23"/>
      <c r="AO119" s="23"/>
      <c r="AP119" s="23"/>
    </row>
    <row r="120" spans="1:42" ht="18.75" hidden="1" customHeight="1" outlineLevel="1" x14ac:dyDescent="0.25">
      <c r="V120" s="150">
        <f>H119</f>
        <v>2346.1683339744145</v>
      </c>
      <c r="W120" s="86">
        <f>I119</f>
        <v>1214.7650132389715</v>
      </c>
      <c r="X120" s="86">
        <f>S117</f>
        <v>2269.090909090909</v>
      </c>
      <c r="Y120" s="86">
        <f>Y117</f>
        <v>2849.8897708377035</v>
      </c>
      <c r="Z120" s="86">
        <f>((V120-X120)*(Y120))/(V120-W120)</f>
        <v>194.15018562542966</v>
      </c>
      <c r="AA120" s="86"/>
      <c r="AB120" s="172"/>
      <c r="AC120" s="23"/>
      <c r="AD120" s="23"/>
      <c r="AE120" s="23"/>
      <c r="AF120" s="23"/>
      <c r="AG120" s="23"/>
      <c r="AH120" s="23"/>
      <c r="AI120" s="23"/>
      <c r="AJ120" s="23"/>
      <c r="AK120" s="23"/>
      <c r="AL120" s="23"/>
      <c r="AM120" s="23"/>
      <c r="AN120" s="23"/>
      <c r="AO120" s="23"/>
      <c r="AP120" s="23"/>
    </row>
    <row r="121" spans="1:42" ht="18.75" hidden="1" customHeight="1" outlineLevel="1" x14ac:dyDescent="0.25">
      <c r="W121" s="23"/>
      <c r="X121" s="23"/>
      <c r="Y121" s="23"/>
      <c r="Z121" s="23"/>
      <c r="AA121" s="23"/>
      <c r="AB121" s="172"/>
      <c r="AC121" s="23"/>
      <c r="AD121" s="23"/>
      <c r="AE121" s="23"/>
      <c r="AF121" s="23"/>
      <c r="AG121" s="23"/>
      <c r="AH121" s="23"/>
      <c r="AI121" s="23"/>
      <c r="AJ121" s="23"/>
      <c r="AK121" s="23"/>
      <c r="AL121" s="23"/>
      <c r="AM121" s="23"/>
      <c r="AN121" s="23"/>
      <c r="AO121" s="23"/>
      <c r="AP121" s="23"/>
    </row>
    <row r="122" spans="1:42" ht="18.75" hidden="1" customHeight="1" outlineLevel="1" x14ac:dyDescent="0.25">
      <c r="A122" s="7" t="s">
        <v>55</v>
      </c>
      <c r="B122" s="101" t="s">
        <v>43</v>
      </c>
      <c r="C122" s="74" t="s">
        <v>48</v>
      </c>
      <c r="D122" s="74" t="s">
        <v>47</v>
      </c>
      <c r="E122" s="53" t="s">
        <v>50</v>
      </c>
      <c r="F122" s="74" t="s">
        <v>47</v>
      </c>
      <c r="H122" s="102" t="s">
        <v>126</v>
      </c>
      <c r="I122" s="102" t="s">
        <v>127</v>
      </c>
      <c r="J122" s="23"/>
      <c r="P122" s="23"/>
      <c r="Q122" s="23"/>
      <c r="R122" s="23"/>
      <c r="S122" s="23"/>
      <c r="T122" s="23"/>
      <c r="U122" s="23"/>
      <c r="W122" s="23"/>
      <c r="X122" s="23"/>
      <c r="Y122" s="23"/>
      <c r="Z122" s="23"/>
      <c r="AA122" s="23"/>
      <c r="AB122" s="172"/>
      <c r="AC122" s="23"/>
      <c r="AD122" s="23"/>
      <c r="AE122" s="23"/>
      <c r="AF122" s="23"/>
      <c r="AG122" s="23"/>
      <c r="AH122" s="23"/>
      <c r="AI122" s="23"/>
      <c r="AJ122" s="23"/>
      <c r="AK122" s="23"/>
      <c r="AL122" s="23"/>
      <c r="AM122" s="23"/>
      <c r="AN122" s="23"/>
      <c r="AO122" s="23"/>
      <c r="AP122" s="23"/>
    </row>
    <row r="123" spans="1:42" ht="18.75" hidden="1" customHeight="1" outlineLevel="1" x14ac:dyDescent="0.25">
      <c r="A123" s="23"/>
      <c r="B123" s="76">
        <f>J6</f>
        <v>13.280000000000001</v>
      </c>
      <c r="C123" s="119">
        <v>0</v>
      </c>
      <c r="D123" s="76">
        <f>0.052*B123*C6</f>
        <v>1968.0198801496847</v>
      </c>
      <c r="E123" s="22">
        <v>1.1000000000000001</v>
      </c>
      <c r="F123" s="119">
        <f>E123*D123</f>
        <v>2164.8218681646536</v>
      </c>
      <c r="H123" s="118">
        <f>E128*F123/F128</f>
        <v>1757.841145105949</v>
      </c>
      <c r="I123" s="118">
        <f>F123</f>
        <v>2164.8218681646536</v>
      </c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W123" s="23"/>
      <c r="X123" s="23"/>
      <c r="Y123" s="23"/>
      <c r="Z123" s="23"/>
      <c r="AA123" s="23"/>
      <c r="AB123" s="172"/>
      <c r="AC123" s="23"/>
      <c r="AD123" s="23"/>
      <c r="AE123" s="23"/>
      <c r="AF123" s="23"/>
      <c r="AG123" s="23"/>
      <c r="AH123" s="23"/>
      <c r="AI123" s="23"/>
      <c r="AJ123" s="23"/>
      <c r="AK123" s="23"/>
      <c r="AL123" s="23"/>
      <c r="AM123" s="23"/>
      <c r="AN123" s="23"/>
      <c r="AO123" s="23"/>
      <c r="AP123" s="23"/>
    </row>
    <row r="124" spans="1:42" ht="18.75" hidden="1" customHeight="1" outlineLevel="1" thickBot="1" x14ac:dyDescent="0.3">
      <c r="A124" s="23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W124" s="23"/>
      <c r="X124" s="23"/>
      <c r="Y124" s="23"/>
      <c r="Z124" s="23"/>
      <c r="AA124" s="23"/>
      <c r="AB124" s="172"/>
      <c r="AC124" s="23"/>
      <c r="AD124" s="23"/>
      <c r="AE124" s="23"/>
      <c r="AF124" s="23"/>
      <c r="AG124" s="23"/>
      <c r="AH124" s="23"/>
      <c r="AI124" s="23"/>
      <c r="AJ124" s="23"/>
      <c r="AK124" s="23"/>
      <c r="AL124" s="23"/>
      <c r="AM124" s="23"/>
      <c r="AN124" s="23"/>
      <c r="AO124" s="23"/>
      <c r="AP124" s="23"/>
    </row>
    <row r="125" spans="1:42" ht="18.75" hidden="1" customHeight="1" outlineLevel="1" x14ac:dyDescent="0.25">
      <c r="A125" s="423" t="s">
        <v>128</v>
      </c>
      <c r="B125" s="102" t="s">
        <v>82</v>
      </c>
      <c r="C125" s="102" t="s">
        <v>129</v>
      </c>
      <c r="D125" s="102" t="s">
        <v>127</v>
      </c>
      <c r="E125" s="102" t="s">
        <v>100</v>
      </c>
      <c r="F125" s="102" t="s">
        <v>101</v>
      </c>
      <c r="G125" s="23"/>
      <c r="H125" s="102" t="s">
        <v>130</v>
      </c>
      <c r="I125" s="102" t="s">
        <v>127</v>
      </c>
      <c r="J125" s="23"/>
      <c r="K125" s="107" t="s">
        <v>83</v>
      </c>
      <c r="L125" s="107" t="s">
        <v>84</v>
      </c>
      <c r="M125" s="107" t="s">
        <v>85</v>
      </c>
      <c r="N125" s="107" t="s">
        <v>20</v>
      </c>
      <c r="O125" s="409" t="s">
        <v>86</v>
      </c>
      <c r="P125" s="410"/>
      <c r="Q125" s="79"/>
      <c r="R125" s="56"/>
      <c r="S125" s="110"/>
      <c r="T125" s="186"/>
      <c r="U125" s="160" t="s">
        <v>91</v>
      </c>
      <c r="V125" s="160" t="s">
        <v>92</v>
      </c>
      <c r="W125" s="160" t="s">
        <v>88</v>
      </c>
      <c r="X125" s="160" t="s">
        <v>59</v>
      </c>
      <c r="Y125" s="160" t="s">
        <v>93</v>
      </c>
      <c r="Z125" s="161" t="s">
        <v>253</v>
      </c>
      <c r="AA125" s="161" t="s">
        <v>327</v>
      </c>
      <c r="AB125" s="172"/>
      <c r="AC125" s="23"/>
      <c r="AD125" s="23"/>
      <c r="AE125" s="23"/>
      <c r="AF125" s="23"/>
      <c r="AG125" s="23"/>
      <c r="AH125" s="23"/>
      <c r="AI125" s="23"/>
      <c r="AJ125" s="23"/>
      <c r="AK125" s="23"/>
      <c r="AL125" s="23"/>
      <c r="AM125" s="23"/>
      <c r="AN125" s="23"/>
      <c r="AO125" s="23"/>
      <c r="AP125" s="23"/>
    </row>
    <row r="126" spans="1:42" ht="18.75" hidden="1" customHeight="1" outlineLevel="1" thickBot="1" x14ac:dyDescent="0.3">
      <c r="A126" s="423"/>
      <c r="B126" s="106">
        <f>J7</f>
        <v>14.940000000000001</v>
      </c>
      <c r="C126" s="119">
        <f>0.052*B126*(E128-F126)</f>
        <v>917.51812780564285</v>
      </c>
      <c r="D126" s="119">
        <f>0.052*B126*(F128-F126)</f>
        <v>1333.7484127520452</v>
      </c>
      <c r="E126" s="106">
        <f>(D117)/(0.052*B126)</f>
        <v>1716.8010667697008</v>
      </c>
      <c r="F126" s="69">
        <f>C6-E126</f>
        <v>1133.0887040680027</v>
      </c>
      <c r="G126" s="23"/>
      <c r="H126" s="109">
        <f>H123-C126</f>
        <v>840.32301730030611</v>
      </c>
      <c r="I126" s="109">
        <f>I123-D126</f>
        <v>831.07345541260838</v>
      </c>
      <c r="J126" s="23"/>
      <c r="K126" s="108">
        <f>H126</f>
        <v>840.32301730030611</v>
      </c>
      <c r="L126" s="108">
        <f>I126</f>
        <v>831.07345541260838</v>
      </c>
      <c r="M126" s="108">
        <v>1370</v>
      </c>
      <c r="N126" s="108">
        <f>C6</f>
        <v>2849.8897708377035</v>
      </c>
      <c r="O126" s="108">
        <f>N126-(((N126)*(L126-M126))/L126)</f>
        <v>4697.9589597278573</v>
      </c>
      <c r="P126" s="104" t="s">
        <v>118</v>
      </c>
      <c r="Q126" s="80"/>
      <c r="R126" s="25"/>
      <c r="S126" s="25"/>
      <c r="T126" s="188" t="s">
        <v>89</v>
      </c>
      <c r="U126" s="166">
        <f>E128</f>
        <v>2314.1181137653084</v>
      </c>
      <c r="V126" s="165">
        <f>N126</f>
        <v>2849.8897708377035</v>
      </c>
      <c r="W126" s="167">
        <f>V126-U126</f>
        <v>535.7716570723951</v>
      </c>
      <c r="X126" s="167" t="s">
        <v>118</v>
      </c>
      <c r="Y126" s="167" t="s">
        <v>252</v>
      </c>
      <c r="Z126" s="168">
        <v>254000</v>
      </c>
      <c r="AA126" s="168">
        <f>F131</f>
        <v>9.0009999999999994</v>
      </c>
      <c r="AB126" s="172"/>
      <c r="AC126" s="23"/>
      <c r="AD126" s="23"/>
      <c r="AE126" s="23"/>
      <c r="AF126" s="23"/>
      <c r="AG126" s="23"/>
      <c r="AH126" s="23"/>
      <c r="AI126" s="23"/>
      <c r="AJ126" s="23"/>
      <c r="AK126" s="23"/>
      <c r="AL126" s="23"/>
      <c r="AM126" s="23"/>
      <c r="AN126" s="23"/>
      <c r="AO126" s="23"/>
      <c r="AP126" s="23"/>
    </row>
    <row r="127" spans="1:42" ht="18.75" hidden="1" customHeight="1" outlineLevel="1" x14ac:dyDescent="0.25">
      <c r="A127" s="23"/>
      <c r="B127" s="102" t="s">
        <v>102</v>
      </c>
      <c r="C127" s="77" t="s">
        <v>119</v>
      </c>
      <c r="D127" s="23"/>
      <c r="E127" s="102" t="s">
        <v>121</v>
      </c>
      <c r="F127" s="101" t="s">
        <v>125</v>
      </c>
      <c r="G127" s="424" t="str">
        <f>IF(E128&gt;F126,"thus we assume next mud weigth colume","")</f>
        <v>thus we assume next mud weigth colume</v>
      </c>
      <c r="H127" s="112" t="s">
        <v>68</v>
      </c>
      <c r="I127" s="103" t="s">
        <v>68</v>
      </c>
      <c r="J127" s="23"/>
      <c r="K127" s="108"/>
      <c r="L127" s="108"/>
      <c r="M127" s="108"/>
      <c r="N127" s="108"/>
      <c r="O127" s="108"/>
      <c r="Q127" s="23"/>
      <c r="R127" s="25"/>
      <c r="S127" s="25"/>
      <c r="T127" s="23"/>
      <c r="U127" s="23"/>
      <c r="V127" s="41"/>
      <c r="W127" s="3"/>
      <c r="X127" s="189"/>
      <c r="Y127" s="3"/>
      <c r="Z127" s="3"/>
      <c r="AA127" s="3"/>
      <c r="AB127" s="172"/>
      <c r="AC127" s="23"/>
      <c r="AD127" s="23"/>
      <c r="AE127" s="23"/>
      <c r="AF127" s="23"/>
      <c r="AG127" s="23"/>
      <c r="AH127" s="23"/>
      <c r="AI127" s="23"/>
      <c r="AJ127" s="23"/>
      <c r="AK127" s="23"/>
      <c r="AL127" s="23"/>
      <c r="AM127" s="23"/>
      <c r="AN127" s="23"/>
      <c r="AO127" s="23"/>
      <c r="AP127" s="23"/>
    </row>
    <row r="128" spans="1:42" ht="18.75" hidden="1" customHeight="1" outlineLevel="1" x14ac:dyDescent="0.25">
      <c r="A128" s="23"/>
      <c r="B128" s="106">
        <f>(F123*F126)/C6</f>
        <v>860.71230902932007</v>
      </c>
      <c r="C128" s="106">
        <f>F123-D117</f>
        <v>831.07345541260838</v>
      </c>
      <c r="D128" s="23"/>
      <c r="E128" s="69">
        <f>C5-K115</f>
        <v>2314.1181137653084</v>
      </c>
      <c r="F128" s="116">
        <f>C6</f>
        <v>2849.8897708377035</v>
      </c>
      <c r="G128" s="424"/>
      <c r="H128" s="117">
        <f>H126</f>
        <v>840.32301730030611</v>
      </c>
      <c r="I128" s="106">
        <f>I126*E139+I126</f>
        <v>847.69492452086058</v>
      </c>
      <c r="J128" s="23"/>
      <c r="K128" s="108"/>
      <c r="L128" s="108"/>
      <c r="M128" s="108"/>
      <c r="N128" s="108"/>
      <c r="O128" s="71"/>
      <c r="P128" s="105"/>
      <c r="Q128" s="23"/>
      <c r="R128" s="25"/>
      <c r="S128" s="25"/>
      <c r="T128" s="64"/>
      <c r="U128" s="23"/>
      <c r="W128" s="23"/>
      <c r="X128" s="23"/>
      <c r="Y128" s="23"/>
      <c r="Z128" s="23"/>
      <c r="AA128" s="23"/>
      <c r="AB128" s="172"/>
      <c r="AC128" s="23"/>
      <c r="AD128" s="23"/>
      <c r="AE128" s="23"/>
      <c r="AF128" s="23"/>
      <c r="AG128" s="23"/>
      <c r="AH128" s="23"/>
      <c r="AI128" s="23"/>
      <c r="AJ128" s="23"/>
      <c r="AK128" s="23"/>
      <c r="AL128" s="23"/>
      <c r="AM128" s="23"/>
      <c r="AN128" s="23"/>
      <c r="AO128" s="23"/>
      <c r="AP128" s="23"/>
    </row>
    <row r="129" spans="1:42" ht="18.75" hidden="1" customHeight="1" outlineLevel="1" x14ac:dyDescent="0.25">
      <c r="A129" s="23"/>
      <c r="B129" s="23"/>
      <c r="C129" s="23"/>
      <c r="D129" s="23">
        <v>3</v>
      </c>
      <c r="E129" s="23"/>
      <c r="F129" s="23"/>
      <c r="G129" s="23"/>
      <c r="H129" s="23"/>
      <c r="I129" s="23"/>
      <c r="J129" s="23"/>
      <c r="K129" s="417" t="s">
        <v>68</v>
      </c>
      <c r="L129" s="418"/>
      <c r="M129" s="102" t="s">
        <v>95</v>
      </c>
      <c r="N129" s="102"/>
      <c r="O129" s="23"/>
      <c r="P129" s="23"/>
      <c r="Q129" s="23"/>
      <c r="R129" s="25"/>
      <c r="S129" s="3"/>
      <c r="T129" s="23"/>
      <c r="U129" s="23"/>
      <c r="W129" s="23"/>
      <c r="X129" s="23"/>
      <c r="Y129" s="23"/>
      <c r="Z129" s="23"/>
      <c r="AA129" s="23"/>
      <c r="AB129" s="172"/>
      <c r="AC129" s="23"/>
      <c r="AD129" s="23"/>
      <c r="AE129" s="23"/>
      <c r="AF129" s="23"/>
      <c r="AG129" s="23"/>
      <c r="AH129" s="23"/>
      <c r="AI129" s="23"/>
      <c r="AJ129" s="23"/>
      <c r="AK129" s="23"/>
      <c r="AL129" s="23"/>
      <c r="AM129" s="23"/>
      <c r="AN129" s="23"/>
      <c r="AO129" s="23"/>
      <c r="AP129" s="23"/>
    </row>
    <row r="130" spans="1:42" ht="18.75" hidden="1" customHeight="1" outlineLevel="1" x14ac:dyDescent="0.25">
      <c r="A130" s="7" t="s">
        <v>57</v>
      </c>
      <c r="B130" s="102" t="s">
        <v>59</v>
      </c>
      <c r="C130" s="102" t="s">
        <v>58</v>
      </c>
      <c r="D130" s="102" t="s">
        <v>94</v>
      </c>
      <c r="E130" s="102" t="s">
        <v>61</v>
      </c>
      <c r="F130" s="17" t="s">
        <v>54</v>
      </c>
      <c r="G130" s="105" t="s">
        <v>52</v>
      </c>
      <c r="H130" s="102" t="s">
        <v>29</v>
      </c>
      <c r="I130" s="102" t="s">
        <v>31</v>
      </c>
      <c r="J130" s="23"/>
      <c r="K130" s="108">
        <f>H128</f>
        <v>840.32301730030611</v>
      </c>
      <c r="L130" s="108">
        <f>I128</f>
        <v>847.69492452086058</v>
      </c>
      <c r="M130" s="108">
        <f>M126</f>
        <v>1370</v>
      </c>
      <c r="N130" s="108">
        <f>N126</f>
        <v>2849.8897708377035</v>
      </c>
      <c r="O130" s="108">
        <f>N130-(((N130)*(L130-M130))/L130)</f>
        <v>4605.8421173802526</v>
      </c>
      <c r="P130" s="108"/>
      <c r="Q130" s="23"/>
      <c r="R130" s="23"/>
      <c r="S130" s="23"/>
      <c r="T130" s="23"/>
      <c r="U130" s="23"/>
      <c r="W130" s="23"/>
      <c r="X130" s="23"/>
      <c r="Y130" s="23"/>
      <c r="Z130" s="23"/>
      <c r="AA130" s="23"/>
      <c r="AB130" s="172"/>
      <c r="AC130" s="23"/>
      <c r="AD130" s="23"/>
      <c r="AE130" s="23"/>
      <c r="AF130" s="23"/>
      <c r="AG130" s="23"/>
      <c r="AH130" s="23"/>
      <c r="AI130" s="23"/>
      <c r="AJ130" s="23"/>
      <c r="AK130" s="23"/>
      <c r="AL130" s="23"/>
      <c r="AM130" s="23"/>
      <c r="AN130" s="23"/>
      <c r="AO130" s="23"/>
      <c r="AP130" s="23"/>
    </row>
    <row r="131" spans="1:42" ht="18.75" hidden="1" customHeight="1" outlineLevel="1" x14ac:dyDescent="0.25">
      <c r="A131" s="23"/>
      <c r="B131" s="106" t="s">
        <v>118</v>
      </c>
      <c r="C131" s="106">
        <v>32.299999999999997</v>
      </c>
      <c r="D131" s="15">
        <f>W126</f>
        <v>535.7716570723951</v>
      </c>
      <c r="E131" s="15">
        <f>D131*C131</f>
        <v>17305.42452343836</v>
      </c>
      <c r="F131" s="106">
        <v>9.0009999999999994</v>
      </c>
      <c r="G131" s="106">
        <v>0.312</v>
      </c>
      <c r="H131" s="106">
        <f>2*G131+F131</f>
        <v>9.625</v>
      </c>
      <c r="I131" s="106">
        <f>(3.14159/4)*(H131^2-F131^2)</f>
        <v>9.1283798330400128</v>
      </c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W131" s="23"/>
      <c r="X131" s="23"/>
      <c r="Y131" s="23"/>
      <c r="Z131" s="23"/>
      <c r="AA131" s="23"/>
      <c r="AB131" s="172"/>
      <c r="AC131" s="23"/>
      <c r="AD131" s="23"/>
      <c r="AE131" s="23"/>
      <c r="AF131" s="23"/>
      <c r="AG131" s="23"/>
      <c r="AH131" s="23"/>
      <c r="AI131" s="23"/>
      <c r="AJ131" s="23"/>
      <c r="AK131" s="23"/>
      <c r="AL131" s="23"/>
      <c r="AM131" s="23"/>
      <c r="AN131" s="23"/>
      <c r="AO131" s="23"/>
      <c r="AP131" s="23"/>
    </row>
    <row r="132" spans="1:42" ht="18.75" hidden="1" customHeight="1" outlineLevel="1" x14ac:dyDescent="0.25">
      <c r="A132" s="23"/>
      <c r="B132" s="102" t="s">
        <v>59</v>
      </c>
      <c r="C132" s="102" t="s">
        <v>58</v>
      </c>
      <c r="D132" s="102" t="s">
        <v>94</v>
      </c>
      <c r="E132" s="102" t="s">
        <v>61</v>
      </c>
      <c r="F132" s="17" t="s">
        <v>54</v>
      </c>
      <c r="G132" s="105" t="s">
        <v>52</v>
      </c>
      <c r="H132" s="102" t="s">
        <v>29</v>
      </c>
      <c r="I132" s="102" t="s">
        <v>31</v>
      </c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W132" s="23"/>
      <c r="X132" s="23"/>
      <c r="Y132" s="23"/>
      <c r="Z132" s="23"/>
      <c r="AA132" s="23"/>
      <c r="AB132" s="172"/>
      <c r="AC132" s="23"/>
      <c r="AD132" s="23"/>
      <c r="AE132" s="23"/>
      <c r="AF132" s="23"/>
      <c r="AG132" s="23"/>
      <c r="AH132" s="23"/>
      <c r="AI132" s="23"/>
      <c r="AJ132" s="23"/>
      <c r="AK132" s="23"/>
      <c r="AL132" s="23"/>
      <c r="AM132" s="23"/>
      <c r="AN132" s="23"/>
      <c r="AO132" s="23"/>
      <c r="AP132" s="23"/>
    </row>
    <row r="133" spans="1:42" ht="18.75" hidden="1" customHeight="1" outlineLevel="1" x14ac:dyDescent="0.25">
      <c r="A133" s="23"/>
      <c r="B133" s="106"/>
      <c r="C133" s="106"/>
      <c r="D133" s="15"/>
      <c r="E133" s="15"/>
      <c r="F133" s="106"/>
      <c r="G133" s="106"/>
      <c r="H133" s="106"/>
      <c r="I133" s="106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W133" s="23"/>
      <c r="X133" s="23"/>
      <c r="Y133" s="23"/>
      <c r="Z133" s="23"/>
      <c r="AA133" s="23"/>
      <c r="AB133" s="172"/>
      <c r="AC133" s="23"/>
      <c r="AD133" s="23"/>
      <c r="AE133" s="23"/>
      <c r="AF133" s="23"/>
      <c r="AG133" s="23"/>
      <c r="AH133" s="23"/>
      <c r="AI133" s="23"/>
      <c r="AJ133" s="23"/>
      <c r="AK133" s="23"/>
      <c r="AL133" s="23"/>
      <c r="AM133" s="23"/>
      <c r="AN133" s="23"/>
      <c r="AO133" s="23"/>
      <c r="AP133" s="23"/>
    </row>
    <row r="134" spans="1:42" ht="18.75" hidden="1" customHeight="1" outlineLevel="1" x14ac:dyDescent="0.25">
      <c r="A134" s="23"/>
      <c r="B134" s="26" t="s">
        <v>65</v>
      </c>
      <c r="C134" s="102" t="s">
        <v>64</v>
      </c>
      <c r="D134" s="29" t="s">
        <v>28</v>
      </c>
      <c r="E134" s="102" t="s">
        <v>66</v>
      </c>
      <c r="F134" s="102" t="s">
        <v>67</v>
      </c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W134" s="23"/>
      <c r="X134" s="23"/>
      <c r="Y134" s="23"/>
      <c r="Z134" s="23"/>
      <c r="AA134" s="23"/>
      <c r="AB134" s="172"/>
      <c r="AC134" s="23"/>
      <c r="AD134" s="23"/>
      <c r="AE134" s="23"/>
      <c r="AF134" s="23"/>
      <c r="AG134" s="23"/>
      <c r="AH134" s="23"/>
      <c r="AI134" s="23"/>
      <c r="AJ134" s="23"/>
      <c r="AK134" s="23"/>
      <c r="AL134" s="23"/>
      <c r="AM134" s="23"/>
      <c r="AN134" s="23"/>
      <c r="AO134" s="23"/>
      <c r="AP134" s="23"/>
    </row>
    <row r="135" spans="1:42" ht="18.75" hidden="1" customHeight="1" outlineLevel="1" x14ac:dyDescent="0.25">
      <c r="A135" s="23"/>
      <c r="B135" s="15">
        <f>K6*I131</f>
        <v>17964.832984980203</v>
      </c>
      <c r="C135" s="15">
        <f>E131-B135</f>
        <v>-659.40846154184328</v>
      </c>
      <c r="D135" s="106">
        <v>40000</v>
      </c>
      <c r="E135" s="28">
        <f>(B135/I131)/D135</f>
        <v>4.9200497003742114E-2</v>
      </c>
      <c r="F135" s="28">
        <f>(C135/I131)/D135</f>
        <v>-1.805929621692356E-3</v>
      </c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W135" s="23"/>
      <c r="X135" s="23"/>
      <c r="Y135" s="23"/>
      <c r="Z135" s="23"/>
      <c r="AA135" s="23"/>
      <c r="AB135" s="172"/>
      <c r="AC135" s="23"/>
      <c r="AD135" s="23"/>
      <c r="AE135" s="23"/>
      <c r="AF135" s="23"/>
      <c r="AG135" s="23"/>
      <c r="AH135" s="23"/>
      <c r="AI135" s="23"/>
      <c r="AJ135" s="23"/>
      <c r="AK135" s="23"/>
      <c r="AL135" s="23"/>
      <c r="AM135" s="23"/>
      <c r="AN135" s="23"/>
      <c r="AO135" s="23"/>
      <c r="AP135" s="23"/>
    </row>
    <row r="136" spans="1:42" ht="18.75" hidden="1" customHeight="1" outlineLevel="1" x14ac:dyDescent="0.25">
      <c r="A136" s="23"/>
      <c r="B136" s="415" t="str">
        <f>IF(C135&lt;0,"liner is under compression","")</f>
        <v>liner is under compression</v>
      </c>
      <c r="C136" s="415"/>
      <c r="D136" s="415"/>
      <c r="E136" s="102" t="s">
        <v>62</v>
      </c>
      <c r="F136" s="102" t="s">
        <v>62</v>
      </c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W136" s="23"/>
      <c r="X136" s="23"/>
      <c r="Y136" s="23"/>
      <c r="Z136" s="23"/>
      <c r="AA136" s="23"/>
      <c r="AB136" s="172"/>
      <c r="AC136" s="23"/>
      <c r="AD136" s="23"/>
      <c r="AE136" s="23"/>
      <c r="AF136" s="23"/>
      <c r="AG136" s="23"/>
      <c r="AH136" s="23"/>
      <c r="AI136" s="23"/>
      <c r="AJ136" s="23"/>
      <c r="AK136" s="23"/>
      <c r="AL136" s="23"/>
      <c r="AM136" s="23"/>
      <c r="AN136" s="23"/>
      <c r="AO136" s="23"/>
      <c r="AP136" s="23"/>
    </row>
    <row r="137" spans="1:42" ht="18.75" hidden="1" customHeight="1" outlineLevel="1" x14ac:dyDescent="0.25">
      <c r="A137" s="23"/>
      <c r="B137" s="23"/>
      <c r="C137" s="23"/>
      <c r="D137" s="23"/>
      <c r="E137" s="28">
        <v>0.02</v>
      </c>
      <c r="F137" s="28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W137" s="23"/>
      <c r="X137" s="23"/>
      <c r="Y137" s="23"/>
      <c r="Z137" s="23"/>
      <c r="AA137" s="23"/>
      <c r="AB137" s="172"/>
      <c r="AC137" s="23"/>
      <c r="AD137" s="23"/>
      <c r="AE137" s="23"/>
      <c r="AF137" s="23"/>
      <c r="AG137" s="23"/>
      <c r="AH137" s="23"/>
      <c r="AI137" s="23"/>
      <c r="AJ137" s="23"/>
      <c r="AK137" s="23"/>
      <c r="AL137" s="23"/>
      <c r="AM137" s="23"/>
      <c r="AN137" s="23"/>
      <c r="AO137" s="23"/>
      <c r="AP137" s="23"/>
    </row>
    <row r="138" spans="1:42" ht="18.75" hidden="1" customHeight="1" outlineLevel="1" x14ac:dyDescent="0.25">
      <c r="A138" s="23"/>
      <c r="B138" s="23"/>
      <c r="C138" s="23"/>
      <c r="D138" s="23"/>
      <c r="E138" s="102" t="s">
        <v>63</v>
      </c>
      <c r="F138" s="102" t="s">
        <v>63</v>
      </c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W138" s="23"/>
      <c r="X138" s="23"/>
      <c r="Y138" s="23"/>
      <c r="Z138" s="23"/>
      <c r="AA138" s="23"/>
      <c r="AB138" s="172"/>
      <c r="AC138" s="23"/>
      <c r="AD138" s="23"/>
      <c r="AE138" s="23"/>
      <c r="AF138" s="23"/>
      <c r="AG138" s="23"/>
      <c r="AH138" s="23"/>
      <c r="AI138" s="23"/>
      <c r="AJ138" s="23"/>
      <c r="AK138" s="23"/>
      <c r="AL138" s="23"/>
      <c r="AM138" s="23"/>
      <c r="AN138" s="23"/>
      <c r="AO138" s="23"/>
      <c r="AP138" s="23"/>
    </row>
    <row r="139" spans="1:42" ht="18.75" hidden="1" customHeight="1" outlineLevel="1" x14ac:dyDescent="0.25">
      <c r="A139" s="23"/>
      <c r="B139" s="23" t="s">
        <v>153</v>
      </c>
      <c r="C139" s="23"/>
      <c r="D139" s="23"/>
      <c r="E139" s="28">
        <v>0.02</v>
      </c>
      <c r="F139" s="28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W139" s="23"/>
      <c r="X139" s="23"/>
      <c r="Y139" s="23"/>
      <c r="Z139" s="23"/>
      <c r="AA139" s="23"/>
      <c r="AB139" s="172"/>
      <c r="AC139" s="23"/>
      <c r="AD139" s="23"/>
      <c r="AE139" s="23"/>
      <c r="AF139" s="23"/>
      <c r="AG139" s="23"/>
      <c r="AH139" s="23"/>
      <c r="AI139" s="23"/>
      <c r="AJ139" s="23"/>
      <c r="AK139" s="23"/>
      <c r="AL139" s="23"/>
      <c r="AM139" s="23"/>
      <c r="AN139" s="23"/>
      <c r="AO139" s="23"/>
      <c r="AP139" s="23"/>
    </row>
    <row r="140" spans="1:42" ht="18.75" hidden="1" customHeight="1" outlineLevel="1" x14ac:dyDescent="0.25">
      <c r="A140" s="23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W140" s="23"/>
      <c r="X140" s="23"/>
      <c r="Y140" s="23"/>
      <c r="Z140" s="23"/>
      <c r="AA140" s="23"/>
      <c r="AB140" s="172"/>
      <c r="AC140" s="23"/>
      <c r="AD140" s="23"/>
      <c r="AE140" s="23"/>
      <c r="AF140" s="23"/>
      <c r="AG140" s="23"/>
      <c r="AH140" s="23"/>
      <c r="AI140" s="23"/>
      <c r="AJ140" s="23"/>
      <c r="AK140" s="23"/>
      <c r="AL140" s="23"/>
      <c r="AM140" s="23"/>
      <c r="AN140" s="23"/>
      <c r="AO140" s="23"/>
      <c r="AP140" s="23"/>
    </row>
    <row r="141" spans="1:42" ht="18.75" hidden="1" customHeight="1" outlineLevel="1" x14ac:dyDescent="0.2">
      <c r="A141" s="7" t="s">
        <v>115</v>
      </c>
      <c r="B141" s="88" t="s">
        <v>103</v>
      </c>
      <c r="C141" s="89" t="s">
        <v>104</v>
      </c>
      <c r="D141" s="89" t="s">
        <v>105</v>
      </c>
      <c r="E141" s="90" t="s">
        <v>106</v>
      </c>
      <c r="F141" s="90" t="s">
        <v>113</v>
      </c>
      <c r="G141" s="89" t="s">
        <v>107</v>
      </c>
      <c r="H141" s="89" t="s">
        <v>108</v>
      </c>
      <c r="I141" s="89" t="s">
        <v>109</v>
      </c>
      <c r="J141" s="90" t="s">
        <v>110</v>
      </c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W141" s="23"/>
      <c r="X141" s="23"/>
      <c r="Y141" s="23"/>
      <c r="Z141" s="23"/>
      <c r="AA141" s="23"/>
      <c r="AB141" s="172"/>
      <c r="AC141" s="23"/>
      <c r="AD141" s="23"/>
      <c r="AE141" s="23"/>
      <c r="AF141" s="23"/>
      <c r="AG141" s="23"/>
      <c r="AH141" s="23"/>
      <c r="AI141" s="23"/>
      <c r="AJ141" s="23"/>
      <c r="AK141" s="23"/>
      <c r="AL141" s="23"/>
      <c r="AM141" s="23"/>
      <c r="AN141" s="23"/>
      <c r="AO141" s="23"/>
      <c r="AP141" s="23"/>
    </row>
    <row r="142" spans="1:42" ht="18.75" hidden="1" customHeight="1" outlineLevel="1" x14ac:dyDescent="0.2">
      <c r="A142" s="23"/>
      <c r="B142" s="91">
        <v>40</v>
      </c>
      <c r="C142" s="91">
        <v>9.0009999999999994</v>
      </c>
      <c r="D142" s="91">
        <v>0.312</v>
      </c>
      <c r="E142" s="91">
        <v>3.8</v>
      </c>
      <c r="F142" s="91">
        <f>218*(C142+2*D142)*(E142)</f>
        <v>7973.3499999999995</v>
      </c>
      <c r="G142" s="91">
        <f>(3.14159/64)*(((C142+2*D142)^4)-C142^4)</f>
        <v>99.076368713239845</v>
      </c>
      <c r="H142" s="91">
        <f>ABS(E131+E133-B135)</f>
        <v>659.40846154184328</v>
      </c>
      <c r="I142" s="92">
        <f>((H142/(G142*30000000))^0.5)</f>
        <v>4.7101158606111849E-4</v>
      </c>
      <c r="J142" s="91">
        <f>(F142*6*I142*B142)/(TANH((6*I142*B142)))</f>
        <v>8007.2840385903501</v>
      </c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W142" s="23"/>
      <c r="X142" s="23"/>
      <c r="Y142" s="23"/>
      <c r="Z142" s="23"/>
      <c r="AA142" s="23"/>
      <c r="AB142" s="172"/>
      <c r="AC142" s="23"/>
      <c r="AD142" s="23"/>
      <c r="AE142" s="23"/>
      <c r="AF142" s="23"/>
      <c r="AG142" s="23"/>
      <c r="AH142" s="23"/>
      <c r="AI142" s="23"/>
      <c r="AJ142" s="23"/>
      <c r="AK142" s="23"/>
      <c r="AL142" s="23"/>
      <c r="AM142" s="23"/>
      <c r="AN142" s="23"/>
      <c r="AO142" s="23"/>
      <c r="AP142" s="23"/>
    </row>
    <row r="143" spans="1:42" ht="18.75" hidden="1" customHeight="1" outlineLevel="1" x14ac:dyDescent="0.2">
      <c r="A143" s="23"/>
      <c r="B143" s="89">
        <v>100</v>
      </c>
      <c r="C143" s="89" t="s">
        <v>31</v>
      </c>
      <c r="D143" s="89" t="s">
        <v>111</v>
      </c>
      <c r="E143" s="90" t="s">
        <v>112</v>
      </c>
      <c r="F143" s="89" t="s">
        <v>114</v>
      </c>
      <c r="G143" s="413" t="str">
        <f>IF(J144&lt;E144,"We ignore bending effect!","Bending is effective")</f>
        <v>We ignore bending effect!</v>
      </c>
      <c r="H143" s="414"/>
      <c r="I143" s="93"/>
      <c r="J143" s="89" t="s">
        <v>114</v>
      </c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W143" s="23"/>
      <c r="X143" s="23"/>
      <c r="Y143" s="23"/>
      <c r="Z143" s="23"/>
      <c r="AA143" s="23"/>
      <c r="AB143" s="172"/>
      <c r="AC143" s="23"/>
      <c r="AD143" s="23"/>
      <c r="AE143" s="23"/>
      <c r="AF143" s="23"/>
      <c r="AG143" s="23"/>
      <c r="AH143" s="23"/>
      <c r="AI143" s="23"/>
      <c r="AJ143" s="23"/>
      <c r="AK143" s="23"/>
      <c r="AL143" s="23"/>
      <c r="AM143" s="23"/>
      <c r="AN143" s="23"/>
      <c r="AO143" s="23"/>
      <c r="AP143" s="23"/>
    </row>
    <row r="144" spans="1:42" ht="18.75" hidden="1" customHeight="1" outlineLevel="1" x14ac:dyDescent="0.2">
      <c r="A144" s="23"/>
      <c r="B144" s="91">
        <v>110</v>
      </c>
      <c r="C144" s="91">
        <f>(3.14159/4)*(B144^2-C142^2)</f>
        <v>9439.6784145596012</v>
      </c>
      <c r="D144" s="91">
        <f>H142/C144</f>
        <v>6.9854970962229257E-2</v>
      </c>
      <c r="E144" s="91">
        <v>40000</v>
      </c>
      <c r="F144" s="91">
        <f>F142+D144</f>
        <v>7973.4198549709618</v>
      </c>
      <c r="G144" s="108"/>
      <c r="H144" s="108"/>
      <c r="I144" s="93"/>
      <c r="J144" s="91">
        <f>J142+D144</f>
        <v>8007.3538935613124</v>
      </c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W144" s="72"/>
      <c r="X144" s="72"/>
      <c r="Y144" s="72"/>
      <c r="Z144" s="72"/>
      <c r="AA144" s="72"/>
      <c r="AB144" s="172"/>
      <c r="AC144" s="72"/>
      <c r="AD144" s="72"/>
      <c r="AE144" s="72"/>
      <c r="AF144" s="72"/>
      <c r="AG144" s="72"/>
      <c r="AH144" s="72"/>
      <c r="AI144" s="72"/>
      <c r="AJ144" s="72"/>
      <c r="AK144" s="72"/>
      <c r="AL144" s="72"/>
      <c r="AM144" s="72"/>
      <c r="AN144" s="72"/>
      <c r="AO144" s="72"/>
      <c r="AP144" s="72"/>
    </row>
    <row r="145" spans="1:41" ht="18.75" hidden="1" customHeight="1" outlineLevel="1" x14ac:dyDescent="0.25">
      <c r="B145" s="1">
        <v>3000</v>
      </c>
      <c r="AB145" s="172"/>
    </row>
    <row r="146" spans="1:41" s="9" customFormat="1" ht="18.75" customHeight="1" collapsed="1" x14ac:dyDescent="0.25">
      <c r="A146" s="201"/>
      <c r="B146" s="201"/>
      <c r="C146" s="201"/>
      <c r="D146" s="201"/>
      <c r="E146" s="201"/>
      <c r="F146" s="201"/>
      <c r="G146" s="201"/>
      <c r="H146" s="201"/>
      <c r="I146" s="201"/>
      <c r="J146" s="201"/>
      <c r="K146" s="201"/>
      <c r="L146" s="201"/>
      <c r="M146" s="201"/>
      <c r="N146" s="201"/>
      <c r="O146" s="201"/>
      <c r="P146" s="201"/>
      <c r="Q146" s="201"/>
      <c r="R146" s="201"/>
      <c r="S146" s="201"/>
      <c r="T146" s="201"/>
      <c r="U146" s="201"/>
      <c r="V146" s="201"/>
      <c r="W146" s="201"/>
      <c r="X146" s="201"/>
      <c r="Y146" s="201"/>
      <c r="Z146" s="201"/>
      <c r="AA146" s="201"/>
      <c r="AB146" s="172"/>
    </row>
    <row r="147" spans="1:41" ht="18.75" customHeight="1" x14ac:dyDescent="0.25">
      <c r="AB147" s="172"/>
    </row>
    <row r="148" spans="1:41" ht="18.75" customHeight="1" x14ac:dyDescent="0.25">
      <c r="A148" s="421" t="s">
        <v>387</v>
      </c>
      <c r="B148" s="421"/>
      <c r="C148" s="421"/>
      <c r="D148" s="421"/>
      <c r="E148" s="421"/>
      <c r="F148" s="421"/>
      <c r="G148" s="184" t="s">
        <v>259</v>
      </c>
      <c r="H148" s="184" t="s">
        <v>259</v>
      </c>
      <c r="I148" s="184" t="s">
        <v>259</v>
      </c>
      <c r="J148" s="184" t="s">
        <v>259</v>
      </c>
      <c r="K148" s="184" t="s">
        <v>259</v>
      </c>
      <c r="L148" s="184" t="s">
        <v>259</v>
      </c>
      <c r="M148" s="184" t="s">
        <v>259</v>
      </c>
      <c r="N148" s="184" t="s">
        <v>259</v>
      </c>
      <c r="O148" s="184" t="s">
        <v>259</v>
      </c>
      <c r="P148" s="184" t="s">
        <v>259</v>
      </c>
      <c r="Q148" s="184" t="s">
        <v>259</v>
      </c>
      <c r="R148" s="184" t="s">
        <v>259</v>
      </c>
      <c r="S148" s="184" t="s">
        <v>259</v>
      </c>
      <c r="T148" s="184" t="s">
        <v>259</v>
      </c>
      <c r="U148" s="184" t="s">
        <v>259</v>
      </c>
      <c r="V148" s="184" t="s">
        <v>259</v>
      </c>
      <c r="W148" s="184" t="s">
        <v>259</v>
      </c>
      <c r="X148" s="184" t="s">
        <v>259</v>
      </c>
      <c r="Y148" s="184" t="s">
        <v>259</v>
      </c>
      <c r="Z148" s="184" t="s">
        <v>259</v>
      </c>
      <c r="AA148" s="184" t="s">
        <v>259</v>
      </c>
      <c r="AB148" s="184" t="s">
        <v>259</v>
      </c>
    </row>
    <row r="149" spans="1:41" ht="18.75" hidden="1" customHeight="1" outlineLevel="1" x14ac:dyDescent="0.25">
      <c r="A149" s="23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W149" s="23"/>
      <c r="X149" s="23"/>
      <c r="Y149" s="23"/>
      <c r="Z149" s="23"/>
      <c r="AA149" s="23"/>
      <c r="AB149" s="172"/>
      <c r="AC149" s="23"/>
      <c r="AD149" s="23"/>
      <c r="AE149" s="23"/>
      <c r="AF149" s="23"/>
      <c r="AG149" s="23"/>
      <c r="AH149" s="23"/>
      <c r="AI149" s="23"/>
      <c r="AJ149" s="23"/>
      <c r="AK149" s="23"/>
      <c r="AL149" s="23"/>
      <c r="AM149" s="23"/>
      <c r="AN149" s="23"/>
      <c r="AO149" s="41"/>
    </row>
    <row r="150" spans="1:41" ht="18.75" hidden="1" customHeight="1" outlineLevel="1" x14ac:dyDescent="0.25">
      <c r="A150" s="11" t="s">
        <v>51</v>
      </c>
      <c r="B150" s="146" t="s">
        <v>44</v>
      </c>
      <c r="C150" s="151" t="s">
        <v>250</v>
      </c>
      <c r="D150" s="56"/>
      <c r="E150" s="56"/>
      <c r="F150" s="52"/>
      <c r="G150" s="102" t="s">
        <v>75</v>
      </c>
      <c r="H150" s="415" t="s">
        <v>44</v>
      </c>
      <c r="I150" s="415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W150" s="23"/>
      <c r="X150" s="40"/>
      <c r="Y150" s="23"/>
      <c r="Z150" s="23"/>
      <c r="AA150" s="23"/>
      <c r="AB150" s="172"/>
      <c r="AC150" s="23"/>
      <c r="AD150" s="23"/>
      <c r="AE150" s="23"/>
      <c r="AF150" s="23"/>
      <c r="AG150" s="23"/>
      <c r="AH150" s="23"/>
      <c r="AI150" s="23"/>
      <c r="AJ150" s="23"/>
      <c r="AK150" s="23"/>
      <c r="AL150" s="23"/>
      <c r="AM150" s="23"/>
      <c r="AN150" s="23"/>
      <c r="AO150" s="41"/>
    </row>
    <row r="151" spans="1:41" ht="18.75" hidden="1" customHeight="1" outlineLevel="1" x14ac:dyDescent="0.25">
      <c r="A151" s="8"/>
      <c r="B151" s="106">
        <f>(0.052*C151*J7)-200</f>
        <v>6284.4927066450573</v>
      </c>
      <c r="C151" s="151">
        <f>'Well Planning(SI)'!F13/0.3085</f>
        <v>8346.8395461912478</v>
      </c>
      <c r="D151" s="25"/>
      <c r="E151" s="25"/>
      <c r="F151" s="155" t="str">
        <f>IF(D151&lt;0,"thus assume gas colume","")</f>
        <v/>
      </c>
      <c r="G151" s="135">
        <f>B151</f>
        <v>6284.4927066450573</v>
      </c>
      <c r="H151" s="422">
        <f>B151</f>
        <v>6284.4927066450573</v>
      </c>
      <c r="I151" s="422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W151" s="23"/>
      <c r="X151" s="40"/>
      <c r="Y151" s="23"/>
      <c r="Z151" s="23"/>
      <c r="AA151" s="23"/>
      <c r="AB151" s="172"/>
      <c r="AC151" s="23"/>
      <c r="AD151" s="23"/>
      <c r="AE151" s="23"/>
      <c r="AF151" s="23"/>
      <c r="AG151" s="23"/>
      <c r="AH151" s="23"/>
      <c r="AI151" s="23"/>
      <c r="AJ151" s="23"/>
      <c r="AK151" s="23"/>
      <c r="AL151" s="23"/>
      <c r="AM151" s="23"/>
      <c r="AN151" s="23"/>
      <c r="AO151" s="41"/>
    </row>
    <row r="152" spans="1:41" ht="18.75" hidden="1" customHeight="1" outlineLevel="1" x14ac:dyDescent="0.25">
      <c r="A152" s="23"/>
      <c r="B152" s="23"/>
      <c r="C152" s="23"/>
      <c r="D152" s="23"/>
      <c r="E152" s="23"/>
      <c r="F152" s="23"/>
      <c r="G152" s="23"/>
      <c r="H152" s="53" t="s">
        <v>50</v>
      </c>
      <c r="I152" s="10">
        <v>1.1000000000000001</v>
      </c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W152" s="23"/>
      <c r="X152" s="40"/>
      <c r="Y152" s="23"/>
      <c r="Z152" s="23"/>
      <c r="AA152" s="23"/>
      <c r="AB152" s="172"/>
      <c r="AC152" s="23"/>
      <c r="AD152" s="23"/>
      <c r="AE152" s="23"/>
      <c r="AF152" s="23"/>
      <c r="AG152" s="23"/>
      <c r="AH152" s="23"/>
      <c r="AI152" s="23"/>
      <c r="AJ152" s="23"/>
      <c r="AK152" s="23"/>
      <c r="AL152" s="23"/>
      <c r="AM152" s="23"/>
      <c r="AN152" s="23"/>
      <c r="AO152" s="41"/>
    </row>
    <row r="153" spans="1:41" ht="18.75" hidden="1" customHeight="1" outlineLevel="1" x14ac:dyDescent="0.25">
      <c r="A153" s="6"/>
      <c r="B153" s="40"/>
      <c r="C153" s="40"/>
      <c r="D153" s="40"/>
      <c r="E153" s="23"/>
      <c r="F153" s="102" t="s">
        <v>75</v>
      </c>
      <c r="G153" s="102" t="s">
        <v>44</v>
      </c>
      <c r="H153" s="102" t="s">
        <v>75</v>
      </c>
      <c r="I153" s="102" t="s">
        <v>44</v>
      </c>
      <c r="J153" s="23"/>
      <c r="K153" s="102" t="s">
        <v>54</v>
      </c>
      <c r="L153" s="17" t="s">
        <v>28</v>
      </c>
      <c r="M153" s="105" t="s">
        <v>52</v>
      </c>
      <c r="N153" s="415" t="s">
        <v>53</v>
      </c>
      <c r="O153" s="415"/>
      <c r="P153" s="23"/>
      <c r="Q153" s="107" t="s">
        <v>76</v>
      </c>
      <c r="R153" s="107" t="s">
        <v>77</v>
      </c>
      <c r="S153" s="107" t="s">
        <v>78</v>
      </c>
      <c r="T153" s="107" t="s">
        <v>20</v>
      </c>
      <c r="U153" s="416" t="s">
        <v>79</v>
      </c>
      <c r="V153" s="416"/>
      <c r="W153" s="52"/>
      <c r="X153" s="40"/>
      <c r="Y153" s="23"/>
      <c r="Z153" s="23"/>
      <c r="AA153" s="23"/>
      <c r="AB153" s="172"/>
      <c r="AC153" s="23"/>
      <c r="AD153" s="23"/>
      <c r="AE153" s="23"/>
      <c r="AF153" s="23"/>
      <c r="AG153" s="23"/>
      <c r="AH153" s="23"/>
      <c r="AI153" s="23"/>
      <c r="AJ153" s="23"/>
      <c r="AK153" s="23"/>
      <c r="AL153" s="23"/>
      <c r="AM153" s="23"/>
      <c r="AN153" s="23"/>
      <c r="AO153" s="41"/>
    </row>
    <row r="154" spans="1:41" ht="18.75" hidden="1" customHeight="1" outlineLevel="1" x14ac:dyDescent="0.25">
      <c r="A154" s="41"/>
      <c r="B154" s="41"/>
      <c r="C154" s="41"/>
      <c r="D154" s="41"/>
      <c r="E154" s="23"/>
      <c r="F154" s="106">
        <f>G151-C154</f>
        <v>6284.4927066450573</v>
      </c>
      <c r="G154" s="106">
        <f>H151-D154</f>
        <v>6284.4927066450573</v>
      </c>
      <c r="H154" s="109">
        <f>F154*I152</f>
        <v>6912.9419773095633</v>
      </c>
      <c r="I154" s="109">
        <f>G154*I152</f>
        <v>6912.9419773095633</v>
      </c>
      <c r="J154" s="23"/>
      <c r="K154" s="106">
        <v>6.5380000000000003</v>
      </c>
      <c r="L154" s="106">
        <v>55000</v>
      </c>
      <c r="M154" s="106">
        <v>0.23100000000000001</v>
      </c>
      <c r="N154" s="106">
        <f>(0.875*2*L154*M154)/(2*M154+K154)</f>
        <v>3176.25</v>
      </c>
      <c r="O154" s="104"/>
      <c r="P154" s="23"/>
      <c r="Q154" s="134">
        <f>H154</f>
        <v>6912.9419773095633</v>
      </c>
      <c r="R154" s="134"/>
      <c r="S154" s="134">
        <f>N158</f>
        <v>0</v>
      </c>
      <c r="T154" s="134">
        <f>C7</f>
        <v>7235.3576957078858</v>
      </c>
      <c r="U154" s="413">
        <f>((Q154-S154)*(T154))/(Q154-R154)</f>
        <v>7235.3576957078858</v>
      </c>
      <c r="V154" s="414"/>
      <c r="W154" s="64"/>
      <c r="X154" s="40"/>
      <c r="Y154" s="23"/>
      <c r="Z154" s="23"/>
      <c r="AA154" s="23"/>
      <c r="AB154" s="172"/>
      <c r="AC154" s="23"/>
      <c r="AD154" s="23"/>
      <c r="AE154" s="23"/>
      <c r="AF154" s="23"/>
      <c r="AG154" s="23"/>
      <c r="AH154" s="23"/>
      <c r="AI154" s="23"/>
      <c r="AJ154" s="23"/>
      <c r="AK154" s="23"/>
      <c r="AL154" s="23"/>
      <c r="AM154" s="23"/>
      <c r="AN154" s="23"/>
      <c r="AO154" s="41"/>
    </row>
    <row r="155" spans="1:41" ht="18.75" hidden="1" customHeight="1" outlineLevel="1" x14ac:dyDescent="0.25">
      <c r="A155" s="23"/>
      <c r="B155" s="23"/>
      <c r="C155" s="23"/>
      <c r="D155" s="23"/>
      <c r="E155" s="23"/>
      <c r="F155" s="23"/>
      <c r="G155" s="23"/>
      <c r="H155" s="111" t="s">
        <v>68</v>
      </c>
      <c r="I155" s="103" t="s">
        <v>68</v>
      </c>
      <c r="J155" s="23"/>
      <c r="K155" s="106">
        <v>6.3659999999999997</v>
      </c>
      <c r="L155" s="106">
        <v>55000</v>
      </c>
      <c r="M155" s="106">
        <v>0.317</v>
      </c>
      <c r="N155" s="106">
        <f>(0.875*2*L155*M155)/(2*M155+K155)</f>
        <v>4358.75</v>
      </c>
      <c r="O155" s="144" t="s">
        <v>245</v>
      </c>
      <c r="P155" s="23"/>
      <c r="Q155" s="134">
        <f>Q154</f>
        <v>6912.9419773095633</v>
      </c>
      <c r="R155" s="134"/>
      <c r="S155" s="134">
        <f>N157</f>
        <v>0</v>
      </c>
      <c r="T155" s="134">
        <f>T154</f>
        <v>7235.3576957078858</v>
      </c>
      <c r="U155" s="413">
        <f>((Q155-S155)*(T155))/(Q155-R155)</f>
        <v>7235.3576957078858</v>
      </c>
      <c r="V155" s="414"/>
      <c r="W155" s="64"/>
      <c r="X155" s="41"/>
      <c r="Y155" s="23"/>
      <c r="Z155" s="23"/>
      <c r="AA155" s="23"/>
      <c r="AB155" s="172"/>
      <c r="AC155" s="23"/>
      <c r="AD155" s="23"/>
      <c r="AE155" s="23"/>
      <c r="AF155" s="23"/>
      <c r="AG155" s="23"/>
      <c r="AH155" s="23"/>
      <c r="AI155" s="23"/>
      <c r="AJ155" s="23"/>
      <c r="AK155" s="23"/>
      <c r="AL155" s="23"/>
      <c r="AM155" s="23"/>
      <c r="AN155" s="23"/>
      <c r="AO155" s="41"/>
    </row>
    <row r="156" spans="1:41" ht="18.75" hidden="1" customHeight="1" outlineLevel="1" x14ac:dyDescent="0.25">
      <c r="A156" s="23"/>
      <c r="B156" s="23"/>
      <c r="C156" s="23"/>
      <c r="D156" s="23"/>
      <c r="E156" s="23"/>
      <c r="F156" s="23"/>
      <c r="G156" s="23"/>
      <c r="H156" s="106">
        <f>H154*F174+H154</f>
        <v>7604.2361750405198</v>
      </c>
      <c r="I156" s="106">
        <f>I154-(I154*E174)</f>
        <v>6774.6831377633716</v>
      </c>
      <c r="J156" s="23"/>
      <c r="K156" s="106">
        <v>6.2759999999999998</v>
      </c>
      <c r="L156" s="106">
        <v>75000</v>
      </c>
      <c r="M156" s="106">
        <v>0.36199999999999999</v>
      </c>
      <c r="N156" s="106">
        <f>(0.875*2*L156*M156)/(2*M156+K156)</f>
        <v>6787.5</v>
      </c>
      <c r="O156" s="144" t="s">
        <v>244</v>
      </c>
      <c r="P156" s="23"/>
      <c r="Q156" s="141">
        <f>Q155</f>
        <v>6912.9419773095633</v>
      </c>
      <c r="R156" s="108"/>
      <c r="S156" s="108">
        <f>N156</f>
        <v>6787.5</v>
      </c>
      <c r="T156" s="141">
        <f>T155</f>
        <v>7235.3576957078858</v>
      </c>
      <c r="U156" s="413">
        <f>((Q156-S156)*(T156))/(Q156-R156)</f>
        <v>131.2925204450793</v>
      </c>
      <c r="V156" s="414"/>
      <c r="W156" s="64"/>
      <c r="X156" s="41"/>
      <c r="Y156" s="23"/>
      <c r="Z156" s="23"/>
      <c r="AA156" s="23"/>
      <c r="AB156" s="172"/>
      <c r="AC156" s="23"/>
      <c r="AD156" s="23"/>
      <c r="AE156" s="23"/>
      <c r="AF156" s="23"/>
      <c r="AG156" s="23"/>
      <c r="AH156" s="23"/>
      <c r="AI156" s="23"/>
      <c r="AJ156" s="23"/>
      <c r="AK156" s="23"/>
      <c r="AL156" s="23"/>
      <c r="AM156" s="23"/>
      <c r="AN156" s="23"/>
      <c r="AO156" s="41"/>
    </row>
    <row r="157" spans="1:41" ht="18.75" hidden="1" customHeight="1" outlineLevel="1" x14ac:dyDescent="0.25">
      <c r="A157" s="7" t="s">
        <v>55</v>
      </c>
      <c r="B157" s="101" t="s">
        <v>43</v>
      </c>
      <c r="C157" s="102" t="s">
        <v>48</v>
      </c>
      <c r="D157" s="102" t="s">
        <v>47</v>
      </c>
      <c r="E157" s="53" t="s">
        <v>50</v>
      </c>
      <c r="F157" s="102" t="s">
        <v>47</v>
      </c>
      <c r="G157" s="56"/>
      <c r="H157" s="23"/>
      <c r="I157" s="23"/>
      <c r="J157" s="23"/>
      <c r="K157" s="106"/>
      <c r="L157" s="106"/>
      <c r="M157" s="106"/>
      <c r="N157" s="106"/>
      <c r="O157" s="144"/>
      <c r="P157" s="23"/>
      <c r="Q157" s="141">
        <f>Q156</f>
        <v>6912.9419773095633</v>
      </c>
      <c r="R157" s="108"/>
      <c r="S157" s="108">
        <f>N155</f>
        <v>4358.75</v>
      </c>
      <c r="T157" s="141">
        <f>T156</f>
        <v>7235.3576957078858</v>
      </c>
      <c r="U157" s="413">
        <f>((Q157-S157)*(T157))/(Q157-R157)</f>
        <v>2673.3180518512731</v>
      </c>
      <c r="V157" s="414"/>
      <c r="W157" s="64"/>
      <c r="X157" s="153" t="s">
        <v>244</v>
      </c>
      <c r="Y157" s="23"/>
      <c r="Z157" s="23"/>
      <c r="AA157" s="23"/>
      <c r="AB157" s="172"/>
      <c r="AC157" s="23"/>
      <c r="AD157" s="23"/>
      <c r="AE157" s="23"/>
      <c r="AF157" s="23"/>
      <c r="AG157" s="23"/>
      <c r="AH157" s="23"/>
      <c r="AI157" s="23"/>
      <c r="AJ157" s="23"/>
      <c r="AK157" s="23"/>
      <c r="AL157" s="23"/>
      <c r="AM157" s="23"/>
      <c r="AN157" s="23"/>
      <c r="AO157" s="41"/>
    </row>
    <row r="158" spans="1:41" ht="18.75" hidden="1" customHeight="1" outlineLevel="1" x14ac:dyDescent="0.25">
      <c r="A158" s="23"/>
      <c r="B158" s="133">
        <f>J7</f>
        <v>14.940000000000001</v>
      </c>
      <c r="C158" s="109">
        <v>0</v>
      </c>
      <c r="D158" s="106">
        <f>0.052*B158*C7</f>
        <v>5621.0046866415423</v>
      </c>
      <c r="E158" s="22">
        <v>1.1000000000000001</v>
      </c>
      <c r="F158" s="109">
        <f>E158*D158</f>
        <v>6183.1051553056968</v>
      </c>
      <c r="G158" s="3"/>
      <c r="H158" s="23"/>
      <c r="I158" s="23"/>
      <c r="J158" s="23"/>
      <c r="K158" s="106"/>
      <c r="L158" s="106"/>
      <c r="M158" s="106"/>
      <c r="N158" s="106"/>
      <c r="O158" s="144"/>
      <c r="P158" s="23"/>
      <c r="Q158" s="141">
        <f>Q157</f>
        <v>6912.9419773095633</v>
      </c>
      <c r="R158" s="108"/>
      <c r="S158" s="108">
        <f>N154</f>
        <v>3176.25</v>
      </c>
      <c r="T158" s="141">
        <f>T157</f>
        <v>7235.3576957078858</v>
      </c>
      <c r="U158" s="413">
        <f>((Q158-S158)*(T158))/(Q158-R158)</f>
        <v>3910.969185515843</v>
      </c>
      <c r="V158" s="414"/>
      <c r="W158" s="64"/>
      <c r="Y158" s="23"/>
      <c r="Z158" s="23"/>
      <c r="AA158" s="23"/>
      <c r="AB158" s="172"/>
      <c r="AC158" s="23"/>
      <c r="AD158" s="23"/>
      <c r="AE158" s="23"/>
      <c r="AF158" s="23"/>
      <c r="AG158" s="23"/>
      <c r="AH158" s="23"/>
      <c r="AI158" s="23"/>
      <c r="AJ158" s="23"/>
      <c r="AK158" s="23"/>
      <c r="AL158" s="23"/>
      <c r="AM158" s="23"/>
      <c r="AN158" s="23"/>
      <c r="AO158" s="41"/>
    </row>
    <row r="159" spans="1:41" ht="18.75" hidden="1" customHeight="1" outlineLevel="1" x14ac:dyDescent="0.25">
      <c r="A159" s="23"/>
      <c r="B159" s="23"/>
      <c r="C159" s="23"/>
      <c r="D159" s="23"/>
      <c r="E159" s="23"/>
      <c r="F159" s="23"/>
      <c r="G159" s="23"/>
      <c r="H159" s="23"/>
      <c r="I159" s="23"/>
      <c r="J159" s="23"/>
      <c r="P159" s="23"/>
      <c r="Q159" s="417" t="s">
        <v>68</v>
      </c>
      <c r="R159" s="418"/>
      <c r="S159" s="415" t="s">
        <v>95</v>
      </c>
      <c r="T159" s="415"/>
      <c r="U159" s="411" t="s">
        <v>133</v>
      </c>
      <c r="V159" s="411"/>
      <c r="W159" s="23"/>
      <c r="X159" s="23"/>
      <c r="Y159" s="23"/>
      <c r="Z159" s="23"/>
      <c r="AA159" s="23"/>
      <c r="AB159" s="172"/>
      <c r="AC159" s="23"/>
      <c r="AD159" s="23"/>
      <c r="AE159" s="23"/>
      <c r="AF159" s="23"/>
      <c r="AG159" s="23"/>
      <c r="AH159" s="23"/>
      <c r="AI159" s="23"/>
      <c r="AJ159" s="23"/>
      <c r="AK159" s="23"/>
      <c r="AL159" s="23"/>
      <c r="AM159" s="23"/>
      <c r="AN159" s="23"/>
      <c r="AO159" s="41"/>
    </row>
    <row r="160" spans="1:41" ht="18.75" hidden="1" customHeight="1" outlineLevel="1" x14ac:dyDescent="0.25">
      <c r="Q160" s="108">
        <f>H156</f>
        <v>7604.2361750405198</v>
      </c>
      <c r="R160" s="108">
        <f>I156</f>
        <v>6774.6831377633716</v>
      </c>
      <c r="S160" s="108">
        <f>S154</f>
        <v>0</v>
      </c>
      <c r="T160" s="108">
        <f>T154</f>
        <v>7235.3576957078858</v>
      </c>
      <c r="U160" s="411">
        <f>((Q160-S160)*(T160))/(Q160-R160)</f>
        <v>66324.112210655585</v>
      </c>
      <c r="V160" s="411"/>
      <c r="AB160" s="172"/>
      <c r="AE160" s="23"/>
      <c r="AF160" s="23"/>
      <c r="AG160" s="23"/>
      <c r="AH160" s="23"/>
      <c r="AI160" s="23"/>
      <c r="AJ160" s="23"/>
      <c r="AK160" s="23"/>
      <c r="AL160" s="23"/>
      <c r="AM160" s="23"/>
      <c r="AN160" s="23"/>
      <c r="AO160" s="41"/>
    </row>
    <row r="161" spans="1:41" ht="18.75" hidden="1" customHeight="1" outlineLevel="1" x14ac:dyDescent="0.25">
      <c r="AB161" s="172"/>
      <c r="AE161" s="23"/>
      <c r="AF161" s="23"/>
      <c r="AG161" s="23"/>
      <c r="AH161" s="23"/>
      <c r="AI161" s="23"/>
      <c r="AJ161" s="23"/>
      <c r="AK161" s="23"/>
      <c r="AL161" s="23"/>
      <c r="AM161" s="23"/>
      <c r="AN161" s="23"/>
      <c r="AO161" s="41"/>
    </row>
    <row r="162" spans="1:41" ht="18.75" hidden="1" customHeight="1" outlineLevel="1" x14ac:dyDescent="0.25">
      <c r="A162" s="8"/>
      <c r="B162" s="40"/>
      <c r="C162" s="40"/>
      <c r="D162" s="40"/>
      <c r="E162" s="40"/>
      <c r="F162" s="40"/>
      <c r="G162" s="23"/>
      <c r="H162" s="125" t="s">
        <v>45</v>
      </c>
      <c r="I162" s="125" t="s">
        <v>44</v>
      </c>
      <c r="J162" s="23"/>
      <c r="K162" s="126" t="s">
        <v>83</v>
      </c>
      <c r="L162" s="126" t="s">
        <v>84</v>
      </c>
      <c r="M162" s="126" t="s">
        <v>85</v>
      </c>
      <c r="N162" s="126" t="s">
        <v>20</v>
      </c>
      <c r="O162" s="409" t="s">
        <v>86</v>
      </c>
      <c r="P162" s="410"/>
      <c r="Q162" s="79"/>
      <c r="R162" s="56"/>
      <c r="S162" s="127"/>
      <c r="T162" s="127"/>
      <c r="U162" s="23"/>
      <c r="W162" s="23"/>
      <c r="X162" s="23"/>
      <c r="Y162" s="23"/>
      <c r="Z162" s="23"/>
      <c r="AA162" s="23"/>
      <c r="AB162" s="172"/>
      <c r="AC162" s="23"/>
      <c r="AD162" s="23"/>
      <c r="AE162" s="23"/>
      <c r="AF162" s="23"/>
      <c r="AG162" s="23"/>
      <c r="AH162" s="23"/>
      <c r="AI162" s="23"/>
      <c r="AJ162" s="23"/>
      <c r="AK162" s="23"/>
      <c r="AL162" s="23"/>
      <c r="AM162" s="23"/>
      <c r="AN162" s="23"/>
      <c r="AO162" s="41"/>
    </row>
    <row r="163" spans="1:41" ht="18.75" hidden="1" customHeight="1" outlineLevel="1" thickBot="1" x14ac:dyDescent="0.3">
      <c r="A163" s="23"/>
      <c r="B163" s="41"/>
      <c r="C163" s="41"/>
      <c r="D163" s="41"/>
      <c r="E163" s="41"/>
      <c r="F163" s="41"/>
      <c r="G163" s="23"/>
      <c r="H163" s="132">
        <f>C158-C163</f>
        <v>0</v>
      </c>
      <c r="I163" s="132">
        <f>F158</f>
        <v>6183.1051553056968</v>
      </c>
      <c r="J163" s="23"/>
      <c r="K163" s="124">
        <f>H163</f>
        <v>0</v>
      </c>
      <c r="L163" s="124">
        <f>I163</f>
        <v>6183.1051553056968</v>
      </c>
      <c r="M163" s="124">
        <v>3270</v>
      </c>
      <c r="N163" s="124">
        <f>C7</f>
        <v>7235.3576957078858</v>
      </c>
      <c r="O163" s="124">
        <f>N163-(((N163)*(L163-M163))/L163)</f>
        <v>3826.4947903502116</v>
      </c>
      <c r="P163" s="78" t="s">
        <v>132</v>
      </c>
      <c r="Q163" s="157">
        <f>O163</f>
        <v>3826.4947903502116</v>
      </c>
      <c r="R163" s="25"/>
      <c r="S163" s="25"/>
      <c r="T163" s="3"/>
      <c r="U163" s="23"/>
      <c r="W163" s="23"/>
      <c r="X163" s="23"/>
      <c r="Y163" s="23"/>
      <c r="Z163" s="23"/>
      <c r="AA163" s="23"/>
      <c r="AB163" s="172"/>
      <c r="AC163" s="23"/>
      <c r="AD163" s="23"/>
      <c r="AE163" s="23"/>
      <c r="AF163" s="23"/>
      <c r="AG163" s="23"/>
      <c r="AH163" s="23"/>
      <c r="AI163" s="23"/>
      <c r="AJ163" s="23"/>
      <c r="AK163" s="23"/>
      <c r="AL163" s="23"/>
      <c r="AM163" s="23"/>
      <c r="AN163" s="23"/>
      <c r="AO163" s="41"/>
    </row>
    <row r="164" spans="1:41" ht="18.75" hidden="1" customHeight="1" outlineLevel="1" x14ac:dyDescent="0.25">
      <c r="A164" s="23"/>
      <c r="B164" s="40"/>
      <c r="C164" s="156"/>
      <c r="D164" s="41"/>
      <c r="E164" s="41"/>
      <c r="F164" s="41"/>
      <c r="G164" s="23"/>
      <c r="H164" s="129" t="s">
        <v>68</v>
      </c>
      <c r="I164" s="129" t="s">
        <v>68</v>
      </c>
      <c r="J164" s="23"/>
      <c r="K164" s="124">
        <f>K163</f>
        <v>0</v>
      </c>
      <c r="L164" s="124">
        <f>L163</f>
        <v>6183.1051553056968</v>
      </c>
      <c r="M164" s="124">
        <v>6730</v>
      </c>
      <c r="N164" s="141">
        <f>C8</f>
        <v>8451.443569553805</v>
      </c>
      <c r="O164" s="141">
        <f>N164-(((N164)*(L164-M164))/L164)</f>
        <v>9198.9726511913104</v>
      </c>
      <c r="P164" s="144" t="s">
        <v>243</v>
      </c>
      <c r="Q164" s="64">
        <f>N163-O163</f>
        <v>3408.8629053576742</v>
      </c>
      <c r="R164" s="25"/>
      <c r="S164" s="25"/>
      <c r="T164" s="186"/>
      <c r="U164" s="160" t="s">
        <v>91</v>
      </c>
      <c r="V164" s="160" t="s">
        <v>92</v>
      </c>
      <c r="W164" s="160" t="s">
        <v>88</v>
      </c>
      <c r="X164" s="160" t="s">
        <v>59</v>
      </c>
      <c r="Y164" s="160" t="s">
        <v>93</v>
      </c>
      <c r="Z164" s="161" t="s">
        <v>253</v>
      </c>
      <c r="AA164" s="161" t="s">
        <v>327</v>
      </c>
      <c r="AB164" s="172"/>
      <c r="AC164" s="23"/>
      <c r="AD164" s="23"/>
      <c r="AE164" s="23"/>
      <c r="AF164" s="23"/>
      <c r="AG164" s="23"/>
      <c r="AH164" s="23"/>
      <c r="AI164" s="23"/>
      <c r="AJ164" s="23"/>
      <c r="AK164" s="23"/>
      <c r="AL164" s="23"/>
      <c r="AM164" s="23"/>
      <c r="AN164" s="23"/>
      <c r="AO164" s="41"/>
    </row>
    <row r="165" spans="1:41" ht="18.75" hidden="1" customHeight="1" outlineLevel="1" x14ac:dyDescent="0.25">
      <c r="A165" s="23"/>
      <c r="B165" s="41"/>
      <c r="C165" s="41"/>
      <c r="D165" s="41"/>
      <c r="E165" s="41"/>
      <c r="F165" s="41"/>
      <c r="G165" s="23"/>
      <c r="H165" s="131">
        <v>0</v>
      </c>
      <c r="I165" s="131">
        <f>I163*E176+I163</f>
        <v>6306.7672584118109</v>
      </c>
      <c r="J165" s="23"/>
      <c r="K165" s="124"/>
      <c r="L165" s="124"/>
      <c r="M165" s="124"/>
      <c r="N165" s="124"/>
      <c r="O165" s="128"/>
      <c r="P165" s="130"/>
      <c r="Q165" s="23"/>
      <c r="R165" s="25"/>
      <c r="S165" s="25"/>
      <c r="T165" s="191" t="s">
        <v>89</v>
      </c>
      <c r="U165" s="162">
        <v>0</v>
      </c>
      <c r="V165" s="163">
        <f>Q167</f>
        <v>3751.4654807355018</v>
      </c>
      <c r="W165" s="163">
        <f>V165</f>
        <v>3751.4654807355018</v>
      </c>
      <c r="X165" s="190" t="s">
        <v>244</v>
      </c>
      <c r="Y165" s="162" t="s">
        <v>260</v>
      </c>
      <c r="Z165" s="164">
        <v>489000</v>
      </c>
      <c r="AA165" s="164">
        <f>F168</f>
        <v>6.2759999999999998</v>
      </c>
      <c r="AB165" s="172"/>
      <c r="AC165" s="23"/>
      <c r="AD165" s="23"/>
      <c r="AE165" s="23"/>
      <c r="AF165" s="23"/>
      <c r="AG165" s="23"/>
      <c r="AH165" s="23"/>
      <c r="AI165" s="23"/>
      <c r="AJ165" s="23"/>
      <c r="AK165" s="23"/>
      <c r="AL165" s="23"/>
      <c r="AM165" s="23"/>
      <c r="AN165" s="23"/>
      <c r="AO165" s="41"/>
    </row>
    <row r="166" spans="1:41" ht="18.75" hidden="1" customHeight="1" outlineLevel="1" thickBot="1" x14ac:dyDescent="0.3">
      <c r="A166" s="23"/>
      <c r="B166" s="23"/>
      <c r="C166" s="23"/>
      <c r="D166" s="23"/>
      <c r="E166" s="23"/>
      <c r="F166" s="23"/>
      <c r="G166" s="23"/>
      <c r="H166" s="23"/>
      <c r="I166" s="23"/>
      <c r="J166" s="23"/>
      <c r="K166" s="417" t="s">
        <v>68</v>
      </c>
      <c r="L166" s="418"/>
      <c r="M166" s="419" t="s">
        <v>95</v>
      </c>
      <c r="N166" s="420"/>
      <c r="O166" s="23"/>
      <c r="P166" s="23"/>
      <c r="Q166" s="23"/>
      <c r="R166" s="25"/>
      <c r="S166" s="3"/>
      <c r="T166" s="187" t="s">
        <v>90</v>
      </c>
      <c r="U166" s="165">
        <f>V165</f>
        <v>3751.4654807355018</v>
      </c>
      <c r="V166" s="166">
        <f>T160</f>
        <v>7235.3576957078858</v>
      </c>
      <c r="W166" s="165">
        <f>V166-U166</f>
        <v>3483.892214972384</v>
      </c>
      <c r="X166" s="192" t="s">
        <v>246</v>
      </c>
      <c r="Y166" s="167" t="s">
        <v>260</v>
      </c>
      <c r="Z166" s="168">
        <v>633000</v>
      </c>
      <c r="AA166" s="168">
        <f>F170</f>
        <v>6.1840000000000002</v>
      </c>
      <c r="AB166" s="172"/>
      <c r="AC166" s="23"/>
      <c r="AD166" s="23"/>
      <c r="AE166" s="23"/>
      <c r="AF166" s="23"/>
      <c r="AG166" s="23"/>
      <c r="AH166" s="23"/>
      <c r="AI166" s="23"/>
      <c r="AJ166" s="23"/>
      <c r="AK166" s="23"/>
      <c r="AL166" s="23"/>
      <c r="AM166" s="23"/>
      <c r="AN166" s="23"/>
      <c r="AO166" s="41"/>
    </row>
    <row r="167" spans="1:41" ht="18.75" hidden="1" customHeight="1" outlineLevel="1" x14ac:dyDescent="0.25">
      <c r="A167" s="7" t="s">
        <v>57</v>
      </c>
      <c r="B167" s="125" t="s">
        <v>59</v>
      </c>
      <c r="C167" s="125" t="s">
        <v>58</v>
      </c>
      <c r="D167" s="125" t="s">
        <v>94</v>
      </c>
      <c r="E167" s="125" t="s">
        <v>61</v>
      </c>
      <c r="F167" s="17" t="s">
        <v>54</v>
      </c>
      <c r="G167" s="130" t="s">
        <v>52</v>
      </c>
      <c r="H167" s="125" t="s">
        <v>29</v>
      </c>
      <c r="I167" s="125" t="s">
        <v>31</v>
      </c>
      <c r="J167" s="23"/>
      <c r="K167" s="141">
        <f>K165</f>
        <v>0</v>
      </c>
      <c r="L167" s="141">
        <f>I165</f>
        <v>6306.7672584118109</v>
      </c>
      <c r="M167" s="141">
        <f>M163</f>
        <v>3270</v>
      </c>
      <c r="N167" s="141">
        <f>N163</f>
        <v>7235.3576957078858</v>
      </c>
      <c r="O167" s="141">
        <f>N167-(((N167)*(L167-M167))/L167)</f>
        <v>3751.4654807355018</v>
      </c>
      <c r="P167" s="144" t="s">
        <v>132</v>
      </c>
      <c r="Q167" s="64">
        <f>O167</f>
        <v>3751.4654807355018</v>
      </c>
      <c r="R167" s="23"/>
      <c r="S167" s="23"/>
      <c r="T167" s="23"/>
      <c r="U167" s="23"/>
      <c r="W167" s="23"/>
      <c r="X167" s="23"/>
      <c r="Y167" s="23"/>
      <c r="Z167" s="23"/>
      <c r="AA167" s="23"/>
      <c r="AB167" s="172"/>
      <c r="AC167" s="23"/>
      <c r="AD167" s="23"/>
      <c r="AE167" s="23"/>
      <c r="AF167" s="23"/>
      <c r="AG167" s="23"/>
      <c r="AH167" s="23"/>
      <c r="AI167" s="23"/>
      <c r="AJ167" s="23"/>
      <c r="AK167" s="23"/>
      <c r="AL167" s="23"/>
      <c r="AM167" s="23"/>
      <c r="AN167" s="23"/>
      <c r="AO167" s="41"/>
    </row>
    <row r="168" spans="1:41" ht="18.75" hidden="1" customHeight="1" outlineLevel="1" x14ac:dyDescent="0.25">
      <c r="A168" s="23"/>
      <c r="B168" s="292" t="s">
        <v>133</v>
      </c>
      <c r="C168" s="131">
        <v>26</v>
      </c>
      <c r="D168" s="15">
        <f>W165</f>
        <v>3751.4654807355018</v>
      </c>
      <c r="E168" s="15">
        <f>D168*C168</f>
        <v>97538.102499123052</v>
      </c>
      <c r="F168" s="131">
        <v>6.2759999999999998</v>
      </c>
      <c r="G168" s="131">
        <v>0.36199999999999999</v>
      </c>
      <c r="H168" s="131">
        <f>2*G168+F168</f>
        <v>7</v>
      </c>
      <c r="I168" s="131">
        <f>(3.14159/4)*(H168^2-F168^2)</f>
        <v>7.5491025400400042</v>
      </c>
      <c r="J168" s="23"/>
      <c r="K168" s="15">
        <f>K167</f>
        <v>0</v>
      </c>
      <c r="L168" s="15">
        <f>L167</f>
        <v>6306.7672584118109</v>
      </c>
      <c r="M168" s="15">
        <f>M164</f>
        <v>6730</v>
      </c>
      <c r="N168" s="15">
        <f>N167</f>
        <v>7235.3576957078858</v>
      </c>
      <c r="O168" s="141">
        <f>N168-(((N168)*(L168-M168))/L168)</f>
        <v>7720.9060199846872</v>
      </c>
      <c r="P168" s="144" t="s">
        <v>243</v>
      </c>
      <c r="Q168" s="64">
        <f>N168-Q167</f>
        <v>3483.892214972384</v>
      </c>
      <c r="R168" s="23"/>
      <c r="S168" s="23"/>
      <c r="T168" s="23"/>
      <c r="U168" s="23"/>
      <c r="W168" s="23"/>
      <c r="X168" s="23"/>
      <c r="Y168" s="23"/>
      <c r="Z168" s="23"/>
      <c r="AA168" s="23"/>
      <c r="AB168" s="172"/>
      <c r="AC168" s="23"/>
      <c r="AD168" s="23"/>
      <c r="AE168" s="23"/>
      <c r="AF168" s="23"/>
      <c r="AG168" s="23"/>
      <c r="AH168" s="23"/>
      <c r="AI168" s="23"/>
      <c r="AJ168" s="23"/>
      <c r="AK168" s="23"/>
      <c r="AL168" s="23"/>
      <c r="AM168" s="23"/>
      <c r="AN168" s="23"/>
      <c r="AO168" s="41"/>
    </row>
    <row r="169" spans="1:41" ht="18.75" hidden="1" customHeight="1" outlineLevel="1" x14ac:dyDescent="0.25">
      <c r="A169" s="23"/>
      <c r="B169" s="125" t="s">
        <v>59</v>
      </c>
      <c r="C169" s="125" t="s">
        <v>58</v>
      </c>
      <c r="D169" s="125" t="s">
        <v>94</v>
      </c>
      <c r="E169" s="125" t="s">
        <v>61</v>
      </c>
      <c r="F169" s="17" t="s">
        <v>54</v>
      </c>
      <c r="G169" s="130" t="s">
        <v>52</v>
      </c>
      <c r="H169" s="125" t="s">
        <v>29</v>
      </c>
      <c r="I169" s="125" t="s">
        <v>31</v>
      </c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W169" s="23"/>
      <c r="X169" s="23"/>
      <c r="Y169" s="23"/>
      <c r="Z169" s="23"/>
      <c r="AA169" s="23"/>
      <c r="AB169" s="172"/>
      <c r="AC169" s="23"/>
      <c r="AD169" s="23"/>
      <c r="AE169" s="23"/>
      <c r="AF169" s="23"/>
      <c r="AG169" s="23"/>
      <c r="AH169" s="23"/>
      <c r="AI169" s="23"/>
      <c r="AJ169" s="23"/>
      <c r="AK169" s="23"/>
      <c r="AL169" s="23"/>
      <c r="AM169" s="23"/>
      <c r="AN169" s="23"/>
      <c r="AO169" s="41"/>
    </row>
    <row r="170" spans="1:41" ht="18.75" hidden="1" customHeight="1" outlineLevel="1" x14ac:dyDescent="0.25">
      <c r="A170" s="23"/>
      <c r="B170" s="146" t="s">
        <v>243</v>
      </c>
      <c r="C170" s="131">
        <v>29</v>
      </c>
      <c r="D170" s="15">
        <f>W166</f>
        <v>3483.892214972384</v>
      </c>
      <c r="E170" s="15">
        <f>D170*C170</f>
        <v>101032.87423419913</v>
      </c>
      <c r="F170" s="131">
        <v>6.1840000000000002</v>
      </c>
      <c r="G170" s="131">
        <v>0.40799999999999997</v>
      </c>
      <c r="H170" s="146">
        <f>2*G170+F170</f>
        <v>7</v>
      </c>
      <c r="I170" s="146">
        <f>(3.14159/4)*(H170^2-F170^2)</f>
        <v>8.4494194022400002</v>
      </c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W170" s="23"/>
      <c r="X170" s="23"/>
      <c r="Y170" s="23"/>
      <c r="Z170" s="23"/>
      <c r="AA170" s="23"/>
      <c r="AB170" s="172"/>
      <c r="AC170" s="23"/>
      <c r="AD170" s="23"/>
      <c r="AE170" s="23"/>
      <c r="AF170" s="23"/>
      <c r="AG170" s="23"/>
      <c r="AH170" s="23"/>
      <c r="AI170" s="23"/>
      <c r="AJ170" s="23"/>
      <c r="AK170" s="23"/>
      <c r="AL170" s="23"/>
      <c r="AM170" s="23"/>
      <c r="AN170" s="23"/>
      <c r="AO170" s="41"/>
    </row>
    <row r="171" spans="1:41" ht="18.75" hidden="1" customHeight="1" outlineLevel="1" x14ac:dyDescent="0.25">
      <c r="A171" s="23"/>
      <c r="B171" s="26" t="s">
        <v>65</v>
      </c>
      <c r="C171" s="125" t="s">
        <v>64</v>
      </c>
      <c r="D171" s="29" t="s">
        <v>28</v>
      </c>
      <c r="E171" s="125" t="s">
        <v>66</v>
      </c>
      <c r="F171" s="125" t="s">
        <v>67</v>
      </c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W171" s="23"/>
      <c r="X171" s="23"/>
      <c r="Y171" s="23"/>
      <c r="Z171" s="23"/>
      <c r="AA171" s="23"/>
      <c r="AB171" s="172"/>
      <c r="AC171" s="23"/>
      <c r="AD171" s="23"/>
      <c r="AE171" s="23"/>
      <c r="AF171" s="23"/>
      <c r="AG171" s="23"/>
      <c r="AH171" s="23"/>
      <c r="AI171" s="23"/>
      <c r="AJ171" s="23"/>
      <c r="AK171" s="23"/>
      <c r="AL171" s="23"/>
      <c r="AM171" s="23"/>
      <c r="AN171" s="23"/>
      <c r="AO171" s="41"/>
    </row>
    <row r="172" spans="1:41" ht="18.75" hidden="1" customHeight="1" outlineLevel="1" x14ac:dyDescent="0.25">
      <c r="A172" s="23"/>
      <c r="B172" s="15">
        <f>K8*I168</f>
        <v>41304.647059943607</v>
      </c>
      <c r="C172" s="15">
        <f>E168-B172+E170</f>
        <v>157266.32967337858</v>
      </c>
      <c r="D172" s="131">
        <v>75000</v>
      </c>
      <c r="E172" s="28">
        <f>(B172/I168)/D172</f>
        <v>7.2952860892388449E-2</v>
      </c>
      <c r="F172" s="28">
        <f>(C172/I168)/D172</f>
        <v>0.27776605027197526</v>
      </c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W172" s="23"/>
      <c r="X172" s="23"/>
      <c r="Y172" s="23"/>
      <c r="Z172" s="23"/>
      <c r="AA172" s="23"/>
      <c r="AB172" s="172"/>
      <c r="AC172" s="23"/>
      <c r="AD172" s="23"/>
      <c r="AE172" s="23"/>
      <c r="AF172" s="23"/>
      <c r="AG172" s="23"/>
      <c r="AH172" s="23"/>
      <c r="AI172" s="23"/>
      <c r="AJ172" s="23"/>
      <c r="AK172" s="23"/>
      <c r="AL172" s="23"/>
      <c r="AM172" s="23"/>
      <c r="AN172" s="23"/>
      <c r="AO172" s="41"/>
    </row>
    <row r="173" spans="1:41" ht="18.75" hidden="1" customHeight="1" outlineLevel="1" x14ac:dyDescent="0.25">
      <c r="A173" s="23"/>
      <c r="B173" s="23"/>
      <c r="C173" s="23"/>
      <c r="D173" s="23"/>
      <c r="E173" s="125" t="s">
        <v>62</v>
      </c>
      <c r="F173" s="125" t="s">
        <v>62</v>
      </c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W173" s="23"/>
      <c r="X173" s="23"/>
      <c r="Y173" s="23"/>
      <c r="Z173" s="23"/>
      <c r="AA173" s="23"/>
      <c r="AB173" s="172"/>
      <c r="AC173" s="23"/>
      <c r="AD173" s="23"/>
      <c r="AE173" s="23"/>
      <c r="AF173" s="23"/>
      <c r="AG173" s="23"/>
      <c r="AH173" s="23"/>
      <c r="AI173" s="23"/>
      <c r="AJ173" s="23"/>
      <c r="AK173" s="23"/>
      <c r="AL173" s="23"/>
      <c r="AM173" s="23"/>
      <c r="AN173" s="23"/>
      <c r="AO173" s="41"/>
    </row>
    <row r="174" spans="1:41" ht="18.75" hidden="1" customHeight="1" outlineLevel="1" x14ac:dyDescent="0.25">
      <c r="A174" s="23"/>
      <c r="B174" s="23"/>
      <c r="C174" s="23"/>
      <c r="D174" s="23"/>
      <c r="E174" s="28">
        <v>0.02</v>
      </c>
      <c r="F174" s="28">
        <v>0.1</v>
      </c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W174" s="23"/>
      <c r="X174" s="23"/>
      <c r="Y174" s="23"/>
      <c r="Z174" s="23"/>
      <c r="AA174" s="23"/>
      <c r="AB174" s="172"/>
      <c r="AC174" s="23"/>
      <c r="AD174" s="23"/>
      <c r="AE174" s="23"/>
      <c r="AF174" s="23"/>
      <c r="AG174" s="23"/>
      <c r="AH174" s="23"/>
      <c r="AI174" s="23"/>
      <c r="AJ174" s="23"/>
      <c r="AK174" s="23"/>
      <c r="AL174" s="23"/>
      <c r="AM174" s="23"/>
      <c r="AN174" s="23"/>
      <c r="AO174" s="41"/>
    </row>
    <row r="175" spans="1:41" ht="18.75" hidden="1" customHeight="1" outlineLevel="1" x14ac:dyDescent="0.25">
      <c r="A175" s="23"/>
      <c r="B175" s="23"/>
      <c r="C175" s="23"/>
      <c r="D175" s="23"/>
      <c r="E175" s="125" t="s">
        <v>63</v>
      </c>
      <c r="F175" s="125" t="s">
        <v>63</v>
      </c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W175" s="23"/>
      <c r="X175" s="23"/>
      <c r="Y175" s="23"/>
      <c r="Z175" s="23"/>
      <c r="AA175" s="23"/>
      <c r="AB175" s="172"/>
      <c r="AC175" s="23"/>
      <c r="AD175" s="23"/>
      <c r="AE175" s="23"/>
      <c r="AF175" s="23"/>
      <c r="AG175" s="23"/>
      <c r="AH175" s="23"/>
      <c r="AI175" s="23"/>
      <c r="AJ175" s="23"/>
      <c r="AK175" s="23"/>
      <c r="AL175" s="23"/>
      <c r="AM175" s="23"/>
      <c r="AN175" s="23"/>
      <c r="AO175" s="41"/>
    </row>
    <row r="176" spans="1:41" ht="18.75" hidden="1" customHeight="1" outlineLevel="1" thickBot="1" x14ac:dyDescent="0.3">
      <c r="A176" s="23"/>
      <c r="B176" s="23"/>
      <c r="C176" s="23"/>
      <c r="D176" s="23"/>
      <c r="E176" s="28">
        <v>0.02</v>
      </c>
      <c r="F176" s="28">
        <v>0.2</v>
      </c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W176" s="23"/>
      <c r="X176" s="23"/>
      <c r="Y176" s="23"/>
      <c r="Z176" s="23"/>
      <c r="AA176" s="23"/>
      <c r="AB176" s="172"/>
      <c r="AC176" s="23"/>
      <c r="AD176" s="23"/>
      <c r="AE176" s="23"/>
      <c r="AF176" s="23"/>
      <c r="AG176" s="23"/>
      <c r="AH176" s="23"/>
      <c r="AI176" s="23"/>
      <c r="AJ176" s="23"/>
      <c r="AK176" s="23"/>
      <c r="AL176" s="23"/>
      <c r="AM176" s="23"/>
      <c r="AN176" s="23"/>
      <c r="AO176" s="41"/>
    </row>
    <row r="177" spans="1:51" ht="18.75" hidden="1" customHeight="1" outlineLevel="1" thickBot="1" x14ac:dyDescent="0.3">
      <c r="A177" s="23"/>
      <c r="B177" s="345" t="s">
        <v>386</v>
      </c>
      <c r="C177" s="23"/>
      <c r="D177" s="23"/>
      <c r="E177" s="23"/>
      <c r="F177" s="23"/>
      <c r="G177" s="23"/>
      <c r="H177" s="23"/>
      <c r="I177" s="23"/>
      <c r="J177" s="23"/>
      <c r="K177" s="23"/>
      <c r="L177" s="345" t="s">
        <v>385</v>
      </c>
      <c r="M177" s="23"/>
      <c r="N177" s="23"/>
      <c r="O177" s="23"/>
      <c r="P177" s="23"/>
      <c r="Q177" s="23"/>
      <c r="R177" s="23"/>
      <c r="S177" s="23"/>
      <c r="T177" s="23"/>
      <c r="U177" s="23"/>
      <c r="W177" s="23"/>
      <c r="X177" s="23"/>
      <c r="Y177" s="23"/>
      <c r="Z177" s="23"/>
      <c r="AA177" s="23"/>
      <c r="AB177" s="172"/>
      <c r="AC177" s="23"/>
      <c r="AD177" s="23"/>
      <c r="AE177" s="23"/>
      <c r="AF177" s="23"/>
      <c r="AG177" s="23"/>
      <c r="AH177" s="23"/>
      <c r="AI177" s="23"/>
      <c r="AJ177" s="23"/>
      <c r="AK177" s="23"/>
      <c r="AL177" s="23"/>
      <c r="AM177" s="23"/>
      <c r="AN177" s="23"/>
      <c r="AO177" s="41"/>
    </row>
    <row r="178" spans="1:51" ht="18.75" hidden="1" customHeight="1" outlineLevel="1" x14ac:dyDescent="0.2">
      <c r="A178" s="7" t="s">
        <v>115</v>
      </c>
      <c r="B178" s="88" t="s">
        <v>103</v>
      </c>
      <c r="C178" s="89" t="s">
        <v>104</v>
      </c>
      <c r="D178" s="89" t="s">
        <v>105</v>
      </c>
      <c r="E178" s="90" t="s">
        <v>106</v>
      </c>
      <c r="F178" s="90" t="s">
        <v>113</v>
      </c>
      <c r="G178" s="89" t="s">
        <v>107</v>
      </c>
      <c r="H178" s="89" t="s">
        <v>108</v>
      </c>
      <c r="I178" s="89" t="s">
        <v>109</v>
      </c>
      <c r="J178" s="90" t="s">
        <v>110</v>
      </c>
      <c r="K178" s="23"/>
      <c r="L178" s="344" t="s">
        <v>103</v>
      </c>
      <c r="M178" s="89" t="s">
        <v>104</v>
      </c>
      <c r="N178" s="89" t="s">
        <v>105</v>
      </c>
      <c r="O178" s="90" t="s">
        <v>106</v>
      </c>
      <c r="P178" s="90" t="s">
        <v>113</v>
      </c>
      <c r="Q178" s="89" t="s">
        <v>107</v>
      </c>
      <c r="R178" s="89" t="s">
        <v>108</v>
      </c>
      <c r="S178" s="89" t="s">
        <v>109</v>
      </c>
      <c r="T178" s="90" t="s">
        <v>110</v>
      </c>
      <c r="U178" s="23"/>
      <c r="W178" s="23"/>
      <c r="X178" s="23"/>
      <c r="Y178" s="23"/>
      <c r="Z178" s="23"/>
      <c r="AA178" s="23"/>
      <c r="AB178" s="172"/>
      <c r="AC178" s="23"/>
      <c r="AD178" s="23"/>
      <c r="AE178" s="23"/>
      <c r="AF178" s="23"/>
      <c r="AG178" s="23"/>
      <c r="AH178" s="23"/>
      <c r="AI178" s="23"/>
      <c r="AJ178" s="23"/>
      <c r="AK178" s="23"/>
      <c r="AL178" s="23"/>
      <c r="AM178" s="23"/>
      <c r="AN178" s="23"/>
      <c r="AO178" s="41"/>
    </row>
    <row r="179" spans="1:51" ht="18.75" hidden="1" customHeight="1" outlineLevel="1" x14ac:dyDescent="0.2">
      <c r="A179" s="23"/>
      <c r="B179" s="91">
        <v>40</v>
      </c>
      <c r="C179" s="91">
        <f>F168</f>
        <v>6.2759999999999998</v>
      </c>
      <c r="D179" s="91">
        <f>G168</f>
        <v>0.36199999999999999</v>
      </c>
      <c r="E179" s="91">
        <v>3.8</v>
      </c>
      <c r="F179" s="91">
        <f>218*(C179+2*D179)*(E179)</f>
        <v>5798.8</v>
      </c>
      <c r="G179" s="91">
        <f>(3.14159/64)*(((C179+2*D179)^4)-C179^4)</f>
        <v>41.703212746943926</v>
      </c>
      <c r="H179" s="91">
        <f>E168+E170-B172</f>
        <v>157266.32967337858</v>
      </c>
      <c r="I179" s="92">
        <f>((H179/(G179*30000000))^0.5)</f>
        <v>1.1211726408536704E-2</v>
      </c>
      <c r="J179" s="91">
        <f>(F179*6*I179*B179)/(TANH((6*I179*B179)))</f>
        <v>15747.71990691718</v>
      </c>
      <c r="K179" s="23"/>
      <c r="L179" s="91">
        <v>40</v>
      </c>
      <c r="M179" s="91">
        <f>F170</f>
        <v>6.1840000000000002</v>
      </c>
      <c r="N179" s="91">
        <f>G170</f>
        <v>0.40799999999999997</v>
      </c>
      <c r="O179" s="91">
        <v>3.8</v>
      </c>
      <c r="P179" s="91">
        <f>218*(M179+2*N179)*(O179)</f>
        <v>5798.8</v>
      </c>
      <c r="Q179" s="91">
        <f>(3.14159/64)*(((M179+2*N179)^4)-M179^4)</f>
        <v>46.071439423364268</v>
      </c>
      <c r="R179" s="91">
        <f>E170+O170-B172</f>
        <v>59728.227174255524</v>
      </c>
      <c r="S179" s="92">
        <f>((R179/(Q179*30000000))^0.5)</f>
        <v>6.5737516710336584E-3</v>
      </c>
      <c r="T179" s="91">
        <f>(P179*6*S179*L179)/(TANH((6*S179*L179)))</f>
        <v>9963.3528522873767</v>
      </c>
      <c r="U179" s="23"/>
      <c r="W179" s="23"/>
      <c r="X179" s="23"/>
      <c r="Y179" s="23"/>
      <c r="Z179" s="23"/>
      <c r="AA179" s="23"/>
      <c r="AB179" s="172"/>
      <c r="AC179" s="23"/>
      <c r="AD179" s="23"/>
      <c r="AE179" s="23"/>
      <c r="AF179" s="23"/>
      <c r="AG179" s="23"/>
      <c r="AH179" s="23"/>
      <c r="AI179" s="23"/>
      <c r="AJ179" s="23"/>
      <c r="AK179" s="23"/>
      <c r="AL179" s="23"/>
      <c r="AM179" s="23"/>
      <c r="AN179" s="23"/>
      <c r="AO179" s="41"/>
    </row>
    <row r="180" spans="1:51" ht="18.75" hidden="1" customHeight="1" outlineLevel="1" x14ac:dyDescent="0.2">
      <c r="A180" s="23"/>
      <c r="B180" s="89" t="s">
        <v>29</v>
      </c>
      <c r="C180" s="89" t="s">
        <v>31</v>
      </c>
      <c r="D180" s="89" t="s">
        <v>111</v>
      </c>
      <c r="E180" s="90" t="s">
        <v>112</v>
      </c>
      <c r="F180" s="89" t="s">
        <v>114</v>
      </c>
      <c r="G180" s="413" t="str">
        <f>IF(J181&lt;E181,"We ignore bending effect!","Bending is effective")</f>
        <v>We ignore bending effect!</v>
      </c>
      <c r="H180" s="414"/>
      <c r="I180" s="93"/>
      <c r="J180" s="89" t="s">
        <v>114</v>
      </c>
      <c r="K180" s="23"/>
      <c r="L180" s="89" t="s">
        <v>29</v>
      </c>
      <c r="M180" s="89" t="s">
        <v>31</v>
      </c>
      <c r="N180" s="89" t="s">
        <v>111</v>
      </c>
      <c r="O180" s="90" t="s">
        <v>112</v>
      </c>
      <c r="P180" s="89" t="s">
        <v>114</v>
      </c>
      <c r="Q180" s="411" t="str">
        <f>IF(T181&lt;O181,"We ignore bending effect!","Bending is effective")</f>
        <v>We ignore bending effect!</v>
      </c>
      <c r="R180" s="411"/>
      <c r="S180" s="412" t="s">
        <v>114</v>
      </c>
      <c r="T180" s="412"/>
      <c r="U180" s="23"/>
      <c r="W180" s="23"/>
      <c r="X180" s="23"/>
      <c r="Y180" s="23"/>
      <c r="Z180" s="23"/>
      <c r="AA180" s="23"/>
      <c r="AB180" s="172"/>
      <c r="AC180" s="23"/>
      <c r="AD180" s="23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</row>
    <row r="181" spans="1:51" ht="18.75" hidden="1" customHeight="1" outlineLevel="1" x14ac:dyDescent="0.2">
      <c r="A181" s="23"/>
      <c r="B181" s="91">
        <f>C179+2*D179</f>
        <v>7</v>
      </c>
      <c r="C181" s="91">
        <f>(3.14159/4)*(B181^2-C179^2)</f>
        <v>7.5491025400400042</v>
      </c>
      <c r="D181" s="91">
        <f>H179/C181</f>
        <v>20832.453770398144</v>
      </c>
      <c r="E181" s="91">
        <v>75000</v>
      </c>
      <c r="F181" s="91">
        <f>F179+D181</f>
        <v>26631.253770398143</v>
      </c>
      <c r="G181" s="124"/>
      <c r="H181" s="124"/>
      <c r="I181" s="93"/>
      <c r="J181" s="91">
        <f>J179+D181</f>
        <v>36580.173677315324</v>
      </c>
      <c r="K181" s="23"/>
      <c r="L181" s="91">
        <f>M179+2*N179</f>
        <v>7</v>
      </c>
      <c r="M181" s="91">
        <f>(3.14159/4)*(L181^2-M179^2)</f>
        <v>8.4494194022400002</v>
      </c>
      <c r="N181" s="91">
        <f>R179/M181</f>
        <v>7068.9149550821385</v>
      </c>
      <c r="O181" s="91">
        <v>75000</v>
      </c>
      <c r="P181" s="91">
        <f>P179+N181</f>
        <v>12867.714955082138</v>
      </c>
      <c r="Q181" s="141"/>
      <c r="R181" s="141"/>
      <c r="S181" s="93"/>
      <c r="T181" s="91">
        <f>T179+N181</f>
        <v>17032.267807369513</v>
      </c>
      <c r="U181" s="23"/>
      <c r="W181" s="23"/>
      <c r="X181" s="23"/>
      <c r="Y181" s="23"/>
      <c r="Z181" s="23"/>
      <c r="AA181" s="23"/>
      <c r="AB181" s="172"/>
      <c r="AC181" s="23"/>
      <c r="AD181" s="23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</row>
    <row r="182" spans="1:51" ht="18.75" hidden="1" customHeight="1" outlineLevel="1" x14ac:dyDescent="0.2">
      <c r="A182" s="41"/>
      <c r="B182" s="121"/>
      <c r="C182" s="121"/>
      <c r="D182" s="121"/>
      <c r="E182" s="122"/>
      <c r="F182" s="121"/>
      <c r="G182" s="120"/>
      <c r="H182" s="120"/>
      <c r="I182" s="123"/>
      <c r="J182" s="12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173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</row>
    <row r="183" spans="1:51" s="9" customFormat="1" ht="18.75" customHeight="1" collapsed="1" x14ac:dyDescent="0.25">
      <c r="A183" s="201"/>
      <c r="B183" s="201"/>
      <c r="C183" s="201"/>
      <c r="D183" s="201"/>
      <c r="E183" s="201"/>
      <c r="F183" s="201"/>
      <c r="G183" s="201"/>
      <c r="H183" s="201"/>
      <c r="I183" s="201"/>
      <c r="J183" s="201"/>
      <c r="K183" s="201"/>
      <c r="L183" s="201"/>
      <c r="M183" s="201"/>
      <c r="N183" s="201"/>
      <c r="O183" s="201"/>
      <c r="P183" s="201"/>
      <c r="Q183" s="201"/>
      <c r="R183" s="201"/>
      <c r="S183" s="201"/>
      <c r="T183" s="201"/>
      <c r="U183" s="201"/>
      <c r="V183" s="201"/>
      <c r="W183" s="201"/>
      <c r="X183" s="201"/>
      <c r="Y183" s="201"/>
      <c r="Z183" s="201"/>
      <c r="AA183" s="201"/>
      <c r="AB183" s="172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</row>
    <row r="184" spans="1:51" ht="18.75" customHeight="1" x14ac:dyDescent="0.25">
      <c r="A184" s="23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W184" s="23"/>
      <c r="X184" s="23"/>
      <c r="Y184" s="23"/>
      <c r="Z184" s="23"/>
      <c r="AA184" s="23"/>
      <c r="AB184" s="172"/>
      <c r="AC184" s="23"/>
      <c r="AD184" s="23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</row>
    <row r="185" spans="1:51" ht="18.75" customHeight="1" x14ac:dyDescent="0.25">
      <c r="A185" s="421" t="s">
        <v>388</v>
      </c>
      <c r="B185" s="421"/>
      <c r="C185" s="421"/>
      <c r="D185" s="421"/>
      <c r="E185" s="421"/>
      <c r="F185" s="421"/>
      <c r="G185" s="184" t="s">
        <v>261</v>
      </c>
      <c r="H185" s="184" t="s">
        <v>261</v>
      </c>
      <c r="I185" s="184" t="s">
        <v>261</v>
      </c>
      <c r="J185" s="184" t="s">
        <v>261</v>
      </c>
      <c r="K185" s="184" t="s">
        <v>261</v>
      </c>
      <c r="L185" s="184" t="s">
        <v>261</v>
      </c>
      <c r="M185" s="184" t="s">
        <v>261</v>
      </c>
      <c r="N185" s="184" t="s">
        <v>261</v>
      </c>
      <c r="O185" s="184" t="s">
        <v>261</v>
      </c>
      <c r="P185" s="184" t="s">
        <v>261</v>
      </c>
      <c r="Q185" s="184" t="s">
        <v>261</v>
      </c>
      <c r="R185" s="184" t="s">
        <v>261</v>
      </c>
      <c r="S185" s="184" t="s">
        <v>261</v>
      </c>
      <c r="T185" s="184" t="s">
        <v>261</v>
      </c>
      <c r="U185" s="184" t="s">
        <v>261</v>
      </c>
      <c r="V185" s="184" t="s">
        <v>261</v>
      </c>
      <c r="W185" s="184" t="s">
        <v>261</v>
      </c>
      <c r="X185" s="184" t="s">
        <v>261</v>
      </c>
      <c r="Y185" s="184" t="s">
        <v>261</v>
      </c>
      <c r="Z185" s="184" t="s">
        <v>261</v>
      </c>
      <c r="AA185" s="184" t="s">
        <v>261</v>
      </c>
      <c r="AB185" s="184" t="s">
        <v>261</v>
      </c>
      <c r="AC185" s="23"/>
      <c r="AD185" s="23"/>
    </row>
    <row r="186" spans="1:51" ht="18.75" hidden="1" customHeight="1" outlineLevel="1" x14ac:dyDescent="0.25">
      <c r="A186" s="23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W186" s="23"/>
      <c r="X186" s="23"/>
      <c r="Y186" s="23"/>
      <c r="Z186" s="23"/>
      <c r="AA186" s="23"/>
      <c r="AB186" s="172"/>
      <c r="AC186" s="23"/>
      <c r="AD186" s="23"/>
      <c r="AE186" s="23"/>
      <c r="AF186" s="23"/>
      <c r="AG186" s="23"/>
      <c r="AH186" s="23"/>
      <c r="AI186" s="23"/>
      <c r="AJ186" s="23"/>
      <c r="AK186" s="23"/>
      <c r="AL186" s="23"/>
      <c r="AM186" s="23"/>
      <c r="AN186" s="23"/>
      <c r="AO186" s="23"/>
      <c r="AP186" s="23"/>
      <c r="AQ186" s="23"/>
      <c r="AR186" s="23"/>
      <c r="AS186" s="23"/>
      <c r="AT186" s="23"/>
      <c r="AU186" s="23"/>
      <c r="AV186" s="23"/>
      <c r="AW186" s="23"/>
      <c r="AX186" s="23"/>
      <c r="AY186" s="23"/>
    </row>
    <row r="187" spans="1:51" ht="18.75" hidden="1" customHeight="1" outlineLevel="1" x14ac:dyDescent="0.25">
      <c r="A187" s="11" t="s">
        <v>51</v>
      </c>
      <c r="B187" s="146" t="s">
        <v>44</v>
      </c>
      <c r="C187" s="151" t="s">
        <v>250</v>
      </c>
      <c r="D187" s="56"/>
      <c r="E187" s="56"/>
      <c r="F187" s="52"/>
      <c r="G187" s="138" t="s">
        <v>75</v>
      </c>
      <c r="H187" s="415" t="s">
        <v>44</v>
      </c>
      <c r="I187" s="415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W187" s="23"/>
      <c r="X187" s="40"/>
      <c r="Y187" s="23"/>
      <c r="Z187" s="23"/>
      <c r="AA187" s="23"/>
      <c r="AB187" s="172"/>
      <c r="AC187" s="23"/>
      <c r="AD187" s="23"/>
      <c r="AE187" s="23"/>
      <c r="AF187" s="23"/>
      <c r="AG187" s="23"/>
      <c r="AH187" s="23"/>
      <c r="AI187" s="23"/>
      <c r="AJ187" s="23"/>
      <c r="AK187" s="23"/>
      <c r="AL187" s="23"/>
      <c r="AM187" s="23"/>
      <c r="AN187" s="23"/>
      <c r="AO187" s="23"/>
      <c r="AP187" s="23"/>
      <c r="AQ187" s="23"/>
      <c r="AR187" s="23"/>
      <c r="AS187" s="23"/>
      <c r="AT187" s="23"/>
      <c r="AU187" s="23"/>
      <c r="AV187" s="23"/>
      <c r="AW187" s="23"/>
      <c r="AX187" s="23"/>
      <c r="AY187" s="23"/>
    </row>
    <row r="188" spans="1:51" ht="18.75" hidden="1" customHeight="1" outlineLevel="1" x14ac:dyDescent="0.25">
      <c r="A188" s="8"/>
      <c r="B188" s="146">
        <f>(0.052*C188*J8)-200</f>
        <v>5203.743922204214</v>
      </c>
      <c r="C188" s="151">
        <f>'Well Planning(SI)'!F13/0.3085</f>
        <v>8346.8395461912478</v>
      </c>
      <c r="D188" s="25"/>
      <c r="E188" s="25"/>
      <c r="F188" s="155" t="str">
        <f>IF(D188&lt;0,"thus assume gas colume","")</f>
        <v/>
      </c>
      <c r="G188" s="135">
        <f>B188</f>
        <v>5203.743922204214</v>
      </c>
      <c r="H188" s="422">
        <f>B188</f>
        <v>5203.743922204214</v>
      </c>
      <c r="I188" s="422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W188" s="23"/>
      <c r="X188" s="40"/>
      <c r="Y188" s="23"/>
      <c r="Z188" s="23"/>
      <c r="AA188" s="23"/>
      <c r="AB188" s="172"/>
      <c r="AC188" s="23"/>
      <c r="AD188" s="23"/>
      <c r="AE188" s="23"/>
      <c r="AF188" s="23"/>
      <c r="AG188" s="23"/>
      <c r="AH188" s="23"/>
      <c r="AI188" s="23"/>
      <c r="AJ188" s="23"/>
      <c r="AK188" s="23"/>
      <c r="AL188" s="23"/>
      <c r="AM188" s="23"/>
      <c r="AN188" s="23"/>
      <c r="AO188" s="23"/>
      <c r="AP188" s="23"/>
      <c r="AQ188" s="23"/>
      <c r="AR188" s="23"/>
      <c r="AS188" s="23"/>
      <c r="AT188" s="23"/>
      <c r="AU188" s="23"/>
      <c r="AV188" s="23"/>
      <c r="AW188" s="23"/>
      <c r="AX188" s="23"/>
      <c r="AY188" s="23"/>
    </row>
    <row r="189" spans="1:51" ht="18.75" hidden="1" customHeight="1" outlineLevel="1" x14ac:dyDescent="0.25">
      <c r="A189" s="23"/>
      <c r="B189" s="23"/>
      <c r="C189" s="23"/>
      <c r="D189" s="23"/>
      <c r="E189" s="23"/>
      <c r="F189" s="23"/>
      <c r="G189" s="23"/>
      <c r="H189" s="53" t="s">
        <v>50</v>
      </c>
      <c r="I189" s="10">
        <v>1.1000000000000001</v>
      </c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W189" s="23"/>
      <c r="X189" s="40"/>
      <c r="Y189" s="23"/>
      <c r="Z189" s="23"/>
      <c r="AA189" s="23"/>
      <c r="AB189" s="172"/>
      <c r="AC189" s="23"/>
      <c r="AD189" s="23"/>
      <c r="AE189" s="23"/>
      <c r="AF189" s="23"/>
      <c r="AG189" s="23"/>
      <c r="AH189" s="23"/>
      <c r="AI189" s="23"/>
      <c r="AJ189" s="23"/>
      <c r="AK189" s="23"/>
      <c r="AL189" s="23"/>
      <c r="AM189" s="23"/>
      <c r="AN189" s="23"/>
      <c r="AO189" s="23"/>
      <c r="AP189" s="23"/>
      <c r="AQ189" s="23"/>
      <c r="AR189" s="23"/>
      <c r="AS189" s="23"/>
      <c r="AT189" s="23"/>
      <c r="AU189" s="23"/>
      <c r="AV189" s="23"/>
      <c r="AW189" s="23"/>
      <c r="AX189" s="23"/>
      <c r="AY189" s="23"/>
    </row>
    <row r="190" spans="1:51" ht="18.75" hidden="1" customHeight="1" outlineLevel="1" x14ac:dyDescent="0.25">
      <c r="A190" s="6"/>
      <c r="B190" s="40"/>
      <c r="C190" s="40"/>
      <c r="D190" s="40"/>
      <c r="E190" s="23"/>
      <c r="F190" s="138" t="s">
        <v>75</v>
      </c>
      <c r="G190" s="138" t="s">
        <v>44</v>
      </c>
      <c r="H190" s="138" t="s">
        <v>75</v>
      </c>
      <c r="I190" s="138" t="s">
        <v>44</v>
      </c>
      <c r="J190" s="23"/>
      <c r="K190" s="138" t="s">
        <v>54</v>
      </c>
      <c r="L190" s="17" t="s">
        <v>28</v>
      </c>
      <c r="M190" s="145" t="s">
        <v>52</v>
      </c>
      <c r="N190" s="415" t="s">
        <v>53</v>
      </c>
      <c r="O190" s="415"/>
      <c r="P190" s="23"/>
      <c r="Q190" s="142" t="s">
        <v>76</v>
      </c>
      <c r="R190" s="142" t="s">
        <v>77</v>
      </c>
      <c r="S190" s="142" t="s">
        <v>78</v>
      </c>
      <c r="T190" s="142" t="s">
        <v>20</v>
      </c>
      <c r="U190" s="416" t="s">
        <v>79</v>
      </c>
      <c r="V190" s="416"/>
      <c r="W190" s="40"/>
      <c r="X190" s="40"/>
      <c r="Y190" s="23"/>
      <c r="Z190" s="23"/>
      <c r="AA190" s="23"/>
      <c r="AB190" s="172"/>
      <c r="AC190" s="23"/>
      <c r="AD190" s="23"/>
      <c r="AE190" s="23"/>
      <c r="AF190" s="23"/>
      <c r="AG190" s="23"/>
      <c r="AH190" s="23"/>
      <c r="AI190" s="23"/>
      <c r="AJ190" s="23"/>
      <c r="AK190" s="23"/>
      <c r="AL190" s="23"/>
      <c r="AM190" s="23"/>
      <c r="AN190" s="23"/>
      <c r="AO190" s="23"/>
      <c r="AP190" s="23"/>
      <c r="AQ190" s="23"/>
      <c r="AR190" s="23"/>
      <c r="AS190" s="23"/>
      <c r="AT190" s="23"/>
      <c r="AU190" s="23"/>
      <c r="AV190" s="23"/>
      <c r="AW190" s="23"/>
      <c r="AX190" s="23"/>
      <c r="AY190" s="23"/>
    </row>
    <row r="191" spans="1:51" ht="18.75" hidden="1" customHeight="1" outlineLevel="1" x14ac:dyDescent="0.25">
      <c r="A191" s="41"/>
      <c r="B191" s="41"/>
      <c r="C191" s="41"/>
      <c r="D191" s="41">
        <v>3</v>
      </c>
      <c r="E191" s="23"/>
      <c r="F191" s="146">
        <f>G188-C191</f>
        <v>5203.743922204214</v>
      </c>
      <c r="G191" s="146">
        <f>H188-D191</f>
        <v>5200.743922204214</v>
      </c>
      <c r="H191" s="147">
        <f>F191*I189</f>
        <v>5724.1183144246361</v>
      </c>
      <c r="I191" s="147">
        <f>G191*I189</f>
        <v>5720.8183144246359</v>
      </c>
      <c r="J191" s="23"/>
      <c r="K191" s="146">
        <v>4.4080000000000004</v>
      </c>
      <c r="L191" s="146">
        <v>75000</v>
      </c>
      <c r="M191" s="146">
        <v>0.29599999999999999</v>
      </c>
      <c r="N191" s="146">
        <f>(0.875*2*L191*M191)/(2*M191+K191)</f>
        <v>7770</v>
      </c>
      <c r="O191" s="153" t="s">
        <v>247</v>
      </c>
      <c r="P191" s="23"/>
      <c r="Q191" s="141">
        <f>H191</f>
        <v>5724.1183144246361</v>
      </c>
      <c r="R191" s="141"/>
      <c r="S191" s="141" t="e">
        <f>N195</f>
        <v>#DIV/0!</v>
      </c>
      <c r="T191" s="141">
        <f>C44</f>
        <v>0</v>
      </c>
      <c r="U191" s="411" t="e">
        <f>((Q191-S191)*(T191))/(Q191-R191)</f>
        <v>#DIV/0!</v>
      </c>
      <c r="V191" s="411"/>
      <c r="W191" s="120"/>
      <c r="X191" s="40"/>
      <c r="Y191" s="23"/>
      <c r="Z191" s="23"/>
      <c r="AA191" s="23"/>
      <c r="AB191" s="172"/>
      <c r="AC191" s="23"/>
      <c r="AD191" s="23"/>
      <c r="AE191" s="23"/>
      <c r="AF191" s="23"/>
      <c r="AG191" s="23"/>
      <c r="AH191" s="23"/>
      <c r="AI191" s="23"/>
      <c r="AJ191" s="23"/>
      <c r="AK191" s="23"/>
      <c r="AL191" s="23"/>
      <c r="AM191" s="23"/>
      <c r="AN191" s="23"/>
      <c r="AO191" s="23"/>
      <c r="AP191" s="23"/>
      <c r="AQ191" s="23"/>
      <c r="AR191" s="23"/>
      <c r="AS191" s="23"/>
      <c r="AT191" s="23"/>
      <c r="AU191" s="23"/>
      <c r="AV191" s="23"/>
      <c r="AW191" s="23"/>
      <c r="AX191" s="23"/>
      <c r="AY191" s="23"/>
    </row>
    <row r="192" spans="1:51" ht="18.75" hidden="1" customHeight="1" outlineLevel="1" x14ac:dyDescent="0.25">
      <c r="A192" s="23"/>
      <c r="B192" s="23"/>
      <c r="C192" s="23"/>
      <c r="D192" s="23"/>
      <c r="E192" s="23"/>
      <c r="F192" s="23"/>
      <c r="G192" s="23"/>
      <c r="H192" s="137" t="s">
        <v>68</v>
      </c>
      <c r="I192" s="143" t="s">
        <v>68</v>
      </c>
      <c r="J192" s="23"/>
      <c r="K192" s="146"/>
      <c r="L192" s="146"/>
      <c r="M192" s="146"/>
      <c r="N192" s="146"/>
      <c r="O192" s="144"/>
      <c r="P192" s="23"/>
      <c r="Q192" s="141">
        <f>Q191</f>
        <v>5724.1183144246361</v>
      </c>
      <c r="R192" s="141"/>
      <c r="S192" s="141" t="e">
        <f>N194</f>
        <v>#DIV/0!</v>
      </c>
      <c r="T192" s="141">
        <f>T191</f>
        <v>0</v>
      </c>
      <c r="U192" s="411" t="e">
        <f>((Q192-S192)*(T192))/(Q192-R192)</f>
        <v>#DIV/0!</v>
      </c>
      <c r="V192" s="411"/>
      <c r="W192" s="120"/>
      <c r="X192" s="153" t="s">
        <v>247</v>
      </c>
      <c r="Y192" s="23"/>
      <c r="Z192" s="23"/>
      <c r="AA192" s="23"/>
      <c r="AB192" s="172"/>
      <c r="AC192" s="23"/>
      <c r="AD192" s="23"/>
      <c r="AE192" s="23"/>
      <c r="AF192" s="23"/>
      <c r="AG192" s="23"/>
      <c r="AH192" s="23"/>
      <c r="AI192" s="23"/>
      <c r="AJ192" s="23"/>
      <c r="AK192" s="23"/>
      <c r="AL192" s="23"/>
      <c r="AM192" s="23"/>
      <c r="AN192" s="23"/>
      <c r="AO192" s="23"/>
      <c r="AP192" s="23"/>
      <c r="AQ192" s="23"/>
      <c r="AR192" s="23"/>
      <c r="AS192" s="23"/>
      <c r="AT192" s="23"/>
      <c r="AU192" s="23"/>
      <c r="AV192" s="23"/>
      <c r="AW192" s="23"/>
      <c r="AX192" s="23"/>
      <c r="AY192" s="23"/>
    </row>
    <row r="193" spans="1:51" ht="18.75" hidden="1" customHeight="1" outlineLevel="1" x14ac:dyDescent="0.25">
      <c r="A193" s="23"/>
      <c r="B193" s="23"/>
      <c r="C193" s="23"/>
      <c r="D193" s="23"/>
      <c r="E193" s="23"/>
      <c r="F193" s="23"/>
      <c r="G193" s="23"/>
      <c r="H193" s="146">
        <f>H191*F211+H191</f>
        <v>6296.5301458671001</v>
      </c>
      <c r="I193" s="146">
        <f>I191-(I191*E211)</f>
        <v>5606.4019481361429</v>
      </c>
      <c r="J193" s="23"/>
      <c r="K193" s="146"/>
      <c r="L193" s="146"/>
      <c r="M193" s="146"/>
      <c r="N193" s="146" t="e">
        <f>(0.875*2*L193*M193)/(2*M193+K193)</f>
        <v>#DIV/0!</v>
      </c>
      <c r="O193" s="144"/>
      <c r="P193" s="23"/>
      <c r="Q193" s="141">
        <f>Q192</f>
        <v>5724.1183144246361</v>
      </c>
      <c r="R193" s="141"/>
      <c r="S193" s="141" t="e">
        <f>N193</f>
        <v>#DIV/0!</v>
      </c>
      <c r="T193" s="141">
        <f>T192</f>
        <v>0</v>
      </c>
      <c r="U193" s="411" t="e">
        <f>((Q193-S193)*(T193))/(Q193-R193)</f>
        <v>#DIV/0!</v>
      </c>
      <c r="V193" s="411"/>
      <c r="W193" s="120"/>
      <c r="X193" s="41"/>
      <c r="Y193" s="23"/>
      <c r="Z193" s="23"/>
      <c r="AA193" s="23"/>
      <c r="AB193" s="172"/>
      <c r="AC193" s="23"/>
      <c r="AD193" s="23"/>
      <c r="AE193" s="23"/>
      <c r="AF193" s="23"/>
      <c r="AG193" s="23"/>
      <c r="AH193" s="23"/>
      <c r="AI193" s="23"/>
      <c r="AJ193" s="23"/>
      <c r="AK193" s="23"/>
      <c r="AL193" s="23"/>
      <c r="AM193" s="23"/>
      <c r="AN193" s="23"/>
      <c r="AO193" s="23"/>
      <c r="AP193" s="23"/>
      <c r="AQ193" s="23"/>
      <c r="AR193" s="23"/>
      <c r="AS193" s="23"/>
      <c r="AT193" s="23"/>
      <c r="AU193" s="23"/>
      <c r="AV193" s="23"/>
      <c r="AW193" s="23"/>
      <c r="AX193" s="23"/>
      <c r="AY193" s="23"/>
    </row>
    <row r="194" spans="1:51" ht="18.75" hidden="1" customHeight="1" outlineLevel="1" x14ac:dyDescent="0.25">
      <c r="A194" s="7" t="s">
        <v>55</v>
      </c>
      <c r="B194" s="140" t="s">
        <v>43</v>
      </c>
      <c r="C194" s="138" t="s">
        <v>48</v>
      </c>
      <c r="D194" s="138" t="s">
        <v>47</v>
      </c>
      <c r="E194" s="53" t="s">
        <v>50</v>
      </c>
      <c r="F194" s="138" t="s">
        <v>47</v>
      </c>
      <c r="G194" s="56"/>
      <c r="H194" s="23"/>
      <c r="I194" s="23"/>
      <c r="J194" s="23"/>
      <c r="K194" s="146"/>
      <c r="L194" s="146"/>
      <c r="M194" s="146"/>
      <c r="N194" s="146" t="e">
        <f>(0.875*2*L194*M194)/(2*M194+K194)</f>
        <v>#DIV/0!</v>
      </c>
      <c r="O194" s="144"/>
      <c r="P194" s="23"/>
      <c r="Q194" s="141">
        <f>Q193</f>
        <v>5724.1183144246361</v>
      </c>
      <c r="R194" s="141"/>
      <c r="S194" s="141">
        <f>N192</f>
        <v>0</v>
      </c>
      <c r="T194" s="141">
        <f>T193</f>
        <v>0</v>
      </c>
      <c r="U194" s="411">
        <f>((Q194-S194)*(T194))/(Q194-R194)</f>
        <v>0</v>
      </c>
      <c r="V194" s="411"/>
      <c r="W194" s="120"/>
      <c r="X194" s="40"/>
      <c r="Y194" s="23"/>
      <c r="Z194" s="23"/>
      <c r="AA194" s="23"/>
      <c r="AB194" s="172"/>
      <c r="AC194" s="23"/>
      <c r="AD194" s="23"/>
      <c r="AE194" s="23"/>
      <c r="AF194" s="23"/>
      <c r="AG194" s="23"/>
      <c r="AH194" s="23"/>
      <c r="AI194" s="23"/>
      <c r="AJ194" s="23"/>
      <c r="AK194" s="23"/>
      <c r="AL194" s="23"/>
      <c r="AM194" s="23"/>
      <c r="AN194" s="23"/>
      <c r="AO194" s="23"/>
      <c r="AP194" s="23"/>
      <c r="AQ194" s="23"/>
      <c r="AR194" s="23"/>
      <c r="AS194" s="23"/>
      <c r="AT194" s="23"/>
      <c r="AU194" s="23"/>
      <c r="AV194" s="23"/>
      <c r="AW194" s="23"/>
      <c r="AX194" s="23"/>
      <c r="AY194" s="23"/>
    </row>
    <row r="195" spans="1:51" ht="18.75" hidden="1" customHeight="1" outlineLevel="1" x14ac:dyDescent="0.25">
      <c r="A195" s="23"/>
      <c r="B195" s="146">
        <f>J8</f>
        <v>12.450000000000001</v>
      </c>
      <c r="C195" s="147">
        <v>0</v>
      </c>
      <c r="D195" s="146">
        <f>0.052*B195*C8</f>
        <v>5471.4645669291331</v>
      </c>
      <c r="E195" s="22">
        <v>1.1000000000000001</v>
      </c>
      <c r="F195" s="147">
        <f>E195*D195</f>
        <v>6018.6110236220466</v>
      </c>
      <c r="G195" s="3"/>
      <c r="H195" s="23"/>
      <c r="I195" s="23"/>
      <c r="J195" s="23"/>
      <c r="K195" s="146"/>
      <c r="L195" s="146"/>
      <c r="M195" s="146"/>
      <c r="N195" s="146" t="e">
        <f>(0.875*2*L195*M195)/(2*M195+K195)</f>
        <v>#DIV/0!</v>
      </c>
      <c r="P195" s="23"/>
      <c r="Q195" s="141">
        <f>Q194</f>
        <v>5724.1183144246361</v>
      </c>
      <c r="R195" s="141"/>
      <c r="S195" s="141">
        <f>N191</f>
        <v>7770</v>
      </c>
      <c r="T195" s="141">
        <f>T194</f>
        <v>0</v>
      </c>
      <c r="U195" s="411">
        <f>((Q195-S195)*(T195))/(Q195-R195)</f>
        <v>0</v>
      </c>
      <c r="V195" s="411"/>
      <c r="W195" s="64"/>
      <c r="X195" s="23"/>
      <c r="Y195" s="23"/>
      <c r="Z195" s="23"/>
      <c r="AA195" s="23"/>
      <c r="AB195" s="172"/>
      <c r="AC195" s="23"/>
      <c r="AD195" s="23"/>
      <c r="AE195" s="23"/>
      <c r="AF195" s="23"/>
      <c r="AG195" s="23"/>
      <c r="AH195" s="23"/>
      <c r="AI195" s="23"/>
      <c r="AJ195" s="23"/>
      <c r="AK195" s="23"/>
      <c r="AL195" s="23"/>
      <c r="AM195" s="23"/>
      <c r="AN195" s="23"/>
      <c r="AO195" s="23"/>
      <c r="AP195" s="23"/>
      <c r="AQ195" s="23"/>
      <c r="AR195" s="23"/>
      <c r="AS195" s="23"/>
      <c r="AT195" s="23"/>
      <c r="AU195" s="23"/>
      <c r="AV195" s="23"/>
      <c r="AW195" s="23"/>
      <c r="AX195" s="23"/>
      <c r="AY195" s="23"/>
    </row>
    <row r="196" spans="1:51" ht="18.75" hidden="1" customHeight="1" outlineLevel="1" x14ac:dyDescent="0.25">
      <c r="A196" s="23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417" t="s">
        <v>68</v>
      </c>
      <c r="R196" s="418"/>
      <c r="S196" s="415" t="s">
        <v>95</v>
      </c>
      <c r="T196" s="415"/>
      <c r="U196" s="411" t="s">
        <v>133</v>
      </c>
      <c r="V196" s="411"/>
      <c r="W196" s="23"/>
      <c r="X196" s="23"/>
      <c r="Y196" s="23"/>
      <c r="Z196" s="23"/>
      <c r="AA196" s="23"/>
      <c r="AB196" s="172"/>
      <c r="AC196" s="23"/>
      <c r="AD196" s="23"/>
      <c r="AE196" s="23"/>
      <c r="AF196" s="23"/>
      <c r="AG196" s="23"/>
      <c r="AH196" s="23"/>
      <c r="AI196" s="23"/>
      <c r="AJ196" s="23"/>
      <c r="AK196" s="23"/>
      <c r="AL196" s="23"/>
      <c r="AM196" s="23"/>
      <c r="AN196" s="23"/>
      <c r="AO196" s="23"/>
      <c r="AP196" s="23"/>
      <c r="AQ196" s="23"/>
      <c r="AR196" s="23"/>
      <c r="AS196" s="23"/>
      <c r="AT196" s="23"/>
      <c r="AU196" s="23"/>
      <c r="AV196" s="23"/>
      <c r="AW196" s="23"/>
      <c r="AX196" s="23"/>
      <c r="AY196" s="23"/>
    </row>
    <row r="197" spans="1:51" ht="18.75" hidden="1" customHeight="1" outlineLevel="1" x14ac:dyDescent="0.25">
      <c r="A197" s="23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141">
        <f>H193</f>
        <v>6296.5301458671001</v>
      </c>
      <c r="R197" s="141">
        <f>I193</f>
        <v>5606.4019481361429</v>
      </c>
      <c r="S197" s="141" t="e">
        <f>S191</f>
        <v>#DIV/0!</v>
      </c>
      <c r="T197" s="141">
        <f>T191</f>
        <v>0</v>
      </c>
      <c r="U197" s="411" t="e">
        <f>((Q197-S197)*(T197))/(Q197-R197)</f>
        <v>#DIV/0!</v>
      </c>
      <c r="V197" s="411"/>
      <c r="W197" s="23"/>
      <c r="X197" s="23"/>
      <c r="Y197" s="23"/>
      <c r="Z197" s="23"/>
      <c r="AA197" s="23"/>
      <c r="AB197" s="172"/>
      <c r="AC197" s="23"/>
      <c r="AD197" s="23"/>
      <c r="AE197" s="23"/>
      <c r="AF197" s="23"/>
      <c r="AG197" s="23"/>
      <c r="AH197" s="23"/>
      <c r="AI197" s="23"/>
      <c r="AJ197" s="23"/>
      <c r="AK197" s="23"/>
      <c r="AL197" s="23"/>
      <c r="AM197" s="23"/>
      <c r="AN197" s="23"/>
      <c r="AO197" s="23"/>
      <c r="AP197" s="23"/>
      <c r="AQ197" s="23"/>
      <c r="AR197" s="23"/>
      <c r="AS197" s="23"/>
      <c r="AT197" s="23"/>
      <c r="AU197" s="23"/>
      <c r="AV197" s="23"/>
      <c r="AW197" s="23"/>
      <c r="AX197" s="23"/>
      <c r="AY197" s="23"/>
    </row>
    <row r="198" spans="1:51" ht="18.75" hidden="1" customHeight="1" outlineLevel="1" x14ac:dyDescent="0.25">
      <c r="A198" s="23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W198" s="23"/>
      <c r="X198" s="23"/>
      <c r="Y198" s="23"/>
      <c r="Z198" s="23"/>
      <c r="AA198" s="23"/>
      <c r="AB198" s="172"/>
      <c r="AC198" s="23"/>
      <c r="AD198" s="23"/>
      <c r="AE198" s="23"/>
      <c r="AF198" s="23"/>
      <c r="AG198" s="23"/>
      <c r="AH198" s="23"/>
      <c r="AI198" s="23"/>
      <c r="AJ198" s="23"/>
      <c r="AK198" s="23"/>
      <c r="AL198" s="23"/>
      <c r="AM198" s="23"/>
      <c r="AN198" s="23"/>
      <c r="AO198" s="23"/>
      <c r="AP198" s="23"/>
      <c r="AQ198" s="23"/>
      <c r="AR198" s="23"/>
      <c r="AS198" s="23"/>
      <c r="AT198" s="23"/>
      <c r="AU198" s="23"/>
      <c r="AV198" s="23"/>
      <c r="AW198" s="23"/>
      <c r="AX198" s="23"/>
      <c r="AY198" s="23"/>
    </row>
    <row r="199" spans="1:51" ht="18.75" hidden="1" customHeight="1" outlineLevel="1" x14ac:dyDescent="0.25">
      <c r="A199" s="8"/>
      <c r="B199" s="40"/>
      <c r="C199" s="40"/>
      <c r="D199" s="40"/>
      <c r="E199" s="40"/>
      <c r="F199" s="40"/>
      <c r="G199" s="23"/>
      <c r="H199" s="138" t="s">
        <v>45</v>
      </c>
      <c r="I199" s="138" t="s">
        <v>44</v>
      </c>
      <c r="J199" s="23"/>
      <c r="K199" s="142" t="s">
        <v>83</v>
      </c>
      <c r="L199" s="142" t="s">
        <v>84</v>
      </c>
      <c r="M199" s="142" t="s">
        <v>85</v>
      </c>
      <c r="N199" s="142" t="s">
        <v>20</v>
      </c>
      <c r="O199" s="409" t="s">
        <v>86</v>
      </c>
      <c r="P199" s="410"/>
      <c r="Q199" s="79" t="s">
        <v>88</v>
      </c>
      <c r="R199" s="56"/>
      <c r="S199" s="148"/>
      <c r="T199" s="148"/>
      <c r="U199" s="23"/>
      <c r="W199" s="23"/>
      <c r="X199" s="23"/>
      <c r="Y199" s="23"/>
      <c r="Z199" s="23"/>
      <c r="AA199" s="23"/>
      <c r="AB199" s="172"/>
      <c r="AC199" s="23"/>
      <c r="AD199" s="23"/>
      <c r="AE199" s="23"/>
      <c r="AF199" s="23"/>
      <c r="AG199" s="23"/>
      <c r="AH199" s="23"/>
      <c r="AI199" s="23"/>
      <c r="AJ199" s="23"/>
      <c r="AK199" s="23"/>
      <c r="AL199" s="23"/>
      <c r="AM199" s="23"/>
      <c r="AN199" s="23"/>
      <c r="AO199" s="23"/>
      <c r="AP199" s="23"/>
      <c r="AQ199" s="23"/>
      <c r="AR199" s="23"/>
      <c r="AS199" s="23"/>
      <c r="AT199" s="23"/>
      <c r="AU199" s="23"/>
      <c r="AV199" s="23"/>
      <c r="AW199" s="23"/>
      <c r="AX199" s="23"/>
      <c r="AY199" s="23"/>
    </row>
    <row r="200" spans="1:51" ht="18.75" hidden="1" customHeight="1" outlineLevel="1" thickBot="1" x14ac:dyDescent="0.3">
      <c r="A200" s="23"/>
      <c r="B200" s="41"/>
      <c r="C200" s="41"/>
      <c r="D200" s="41"/>
      <c r="E200" s="41"/>
      <c r="F200" s="41"/>
      <c r="G200" s="23"/>
      <c r="H200" s="147">
        <f>C195-C200</f>
        <v>0</v>
      </c>
      <c r="I200" s="147">
        <f>F195</f>
        <v>6018.6110236220466</v>
      </c>
      <c r="J200" s="23"/>
      <c r="K200" s="141">
        <f>H200</f>
        <v>0</v>
      </c>
      <c r="L200" s="141">
        <f>I200</f>
        <v>6018.6110236220466</v>
      </c>
      <c r="M200" s="141">
        <v>3060</v>
      </c>
      <c r="N200" s="141">
        <f>C8</f>
        <v>8451.443569553805</v>
      </c>
      <c r="O200" s="141">
        <f>N200-(((N200)*(L200-M200))/L200)</f>
        <v>4296.9079113657426</v>
      </c>
      <c r="P200" s="78" t="s">
        <v>249</v>
      </c>
      <c r="Q200" s="157">
        <f>O200</f>
        <v>4296.9079113657426</v>
      </c>
      <c r="R200" s="25"/>
      <c r="S200" s="25"/>
      <c r="T200" s="3"/>
      <c r="U200" s="23"/>
      <c r="W200" s="23"/>
      <c r="X200" s="23"/>
      <c r="Y200" s="23"/>
      <c r="Z200" s="23"/>
      <c r="AA200" s="23"/>
      <c r="AB200" s="172"/>
      <c r="AC200" s="23"/>
      <c r="AD200" s="23"/>
      <c r="AE200" s="23"/>
      <c r="AF200" s="23"/>
      <c r="AG200" s="23"/>
      <c r="AH200" s="23"/>
      <c r="AI200" s="23"/>
      <c r="AJ200" s="23"/>
      <c r="AK200" s="23"/>
      <c r="AL200" s="23"/>
      <c r="AM200" s="23"/>
      <c r="AN200" s="23"/>
      <c r="AO200" s="23"/>
      <c r="AP200" s="23"/>
      <c r="AQ200" s="23"/>
      <c r="AR200" s="23"/>
      <c r="AS200" s="23"/>
      <c r="AT200" s="23"/>
      <c r="AU200" s="23"/>
      <c r="AV200" s="23"/>
      <c r="AW200" s="23"/>
      <c r="AX200" s="23"/>
      <c r="AY200" s="23"/>
    </row>
    <row r="201" spans="1:51" ht="18.75" hidden="1" customHeight="1" outlineLevel="1" x14ac:dyDescent="0.25">
      <c r="A201" s="23"/>
      <c r="B201" s="40" t="s">
        <v>153</v>
      </c>
      <c r="C201" s="156"/>
      <c r="D201" s="41"/>
      <c r="E201" s="41"/>
      <c r="F201" s="41"/>
      <c r="G201" s="23"/>
      <c r="H201" s="143" t="s">
        <v>68</v>
      </c>
      <c r="I201" s="143" t="s">
        <v>68</v>
      </c>
      <c r="J201" s="23"/>
      <c r="K201" s="141">
        <f>K200</f>
        <v>0</v>
      </c>
      <c r="L201" s="141">
        <f>L200</f>
        <v>6018.6110236220466</v>
      </c>
      <c r="M201" s="141">
        <v>5560</v>
      </c>
      <c r="N201" s="141">
        <f>N200</f>
        <v>8451.443569553805</v>
      </c>
      <c r="O201" s="141">
        <f>N201-(((N201)*(L201-M201))/L201)</f>
        <v>7807.4535905861212</v>
      </c>
      <c r="P201" s="153" t="s">
        <v>248</v>
      </c>
      <c r="Q201" s="64">
        <f>N200-O200</f>
        <v>4154.5356581880624</v>
      </c>
      <c r="R201" s="25"/>
      <c r="S201" s="25"/>
      <c r="T201" s="186"/>
      <c r="U201" s="160" t="s">
        <v>91</v>
      </c>
      <c r="V201" s="160" t="s">
        <v>92</v>
      </c>
      <c r="W201" s="160" t="s">
        <v>88</v>
      </c>
      <c r="X201" s="160" t="s">
        <v>59</v>
      </c>
      <c r="Y201" s="160" t="s">
        <v>93</v>
      </c>
      <c r="Z201" s="161" t="s">
        <v>253</v>
      </c>
      <c r="AA201" s="161" t="s">
        <v>327</v>
      </c>
      <c r="AB201" s="172"/>
      <c r="AC201" s="23"/>
      <c r="AD201" s="23"/>
      <c r="AE201" s="23"/>
      <c r="AF201" s="23"/>
      <c r="AG201" s="23"/>
      <c r="AH201" s="23"/>
      <c r="AI201" s="23"/>
      <c r="AJ201" s="23"/>
      <c r="AK201" s="23"/>
      <c r="AL201" s="23"/>
      <c r="AM201" s="23"/>
      <c r="AN201" s="23"/>
      <c r="AO201" s="23"/>
      <c r="AP201" s="23"/>
      <c r="AQ201" s="23"/>
      <c r="AR201" s="23"/>
      <c r="AS201" s="23"/>
      <c r="AT201" s="23"/>
      <c r="AU201" s="23"/>
      <c r="AV201" s="23"/>
      <c r="AW201" s="23"/>
      <c r="AX201" s="23"/>
      <c r="AY201" s="23"/>
    </row>
    <row r="202" spans="1:51" ht="18.75" hidden="1" customHeight="1" outlineLevel="1" thickBot="1" x14ac:dyDescent="0.3">
      <c r="A202" s="23"/>
      <c r="B202" s="41"/>
      <c r="C202" s="41"/>
      <c r="D202" s="41"/>
      <c r="E202" s="41"/>
      <c r="F202" s="41"/>
      <c r="G202" s="23"/>
      <c r="H202" s="146">
        <v>0</v>
      </c>
      <c r="I202" s="146">
        <f>I200*E213+I200</f>
        <v>6138.9832440944874</v>
      </c>
      <c r="J202" s="23"/>
      <c r="K202" s="141"/>
      <c r="L202" s="141"/>
      <c r="M202" s="141"/>
      <c r="N202" s="141"/>
      <c r="O202" s="139"/>
      <c r="P202" s="145"/>
      <c r="Q202" s="23"/>
      <c r="R202" s="25"/>
      <c r="S202" s="25"/>
      <c r="T202" s="187" t="s">
        <v>89</v>
      </c>
      <c r="U202" s="166">
        <f>C7-150</f>
        <v>7085.3576957078858</v>
      </c>
      <c r="V202" s="165">
        <f>C8</f>
        <v>8451.443569553805</v>
      </c>
      <c r="W202" s="165">
        <f>V202-U202</f>
        <v>1366.0858738459192</v>
      </c>
      <c r="X202" s="193" t="s">
        <v>251</v>
      </c>
      <c r="Y202" s="167" t="s">
        <v>260</v>
      </c>
      <c r="Z202" s="168">
        <v>223000</v>
      </c>
      <c r="AA202" s="168">
        <f>F205</f>
        <v>4.4080000000000004</v>
      </c>
      <c r="AB202" s="172"/>
      <c r="AC202" s="23"/>
      <c r="AD202" s="23"/>
      <c r="AE202" s="23"/>
      <c r="AF202" s="23"/>
      <c r="AG202" s="23"/>
      <c r="AH202" s="23"/>
      <c r="AI202" s="23"/>
      <c r="AJ202" s="23"/>
      <c r="AK202" s="23"/>
      <c r="AL202" s="23"/>
      <c r="AM202" s="23"/>
      <c r="AN202" s="23"/>
      <c r="AO202" s="23"/>
      <c r="AP202" s="23"/>
      <c r="AQ202" s="23"/>
      <c r="AR202" s="23"/>
      <c r="AS202" s="23"/>
      <c r="AT202" s="23"/>
      <c r="AU202" s="23"/>
      <c r="AV202" s="23"/>
      <c r="AW202" s="23"/>
      <c r="AX202" s="23"/>
      <c r="AY202" s="23"/>
    </row>
    <row r="203" spans="1:51" ht="18.75" hidden="1" customHeight="1" outlineLevel="1" x14ac:dyDescent="0.25">
      <c r="A203" s="23"/>
      <c r="B203" s="23"/>
      <c r="C203" s="23"/>
      <c r="D203" s="23"/>
      <c r="E203" s="23"/>
      <c r="F203" s="23"/>
      <c r="G203" s="23"/>
      <c r="H203" s="23"/>
      <c r="I203" s="23"/>
      <c r="J203" s="23"/>
      <c r="K203" s="417" t="s">
        <v>68</v>
      </c>
      <c r="L203" s="418"/>
      <c r="M203" s="419" t="s">
        <v>95</v>
      </c>
      <c r="N203" s="420"/>
      <c r="O203" s="23"/>
      <c r="P203" s="23"/>
      <c r="Q203" s="23"/>
      <c r="R203" s="25"/>
      <c r="S203" s="3"/>
      <c r="T203" s="23"/>
      <c r="U203" s="23"/>
      <c r="V203" s="41"/>
      <c r="W203" s="25"/>
      <c r="X203" s="189"/>
      <c r="Y203" s="25"/>
      <c r="Z203" s="40"/>
      <c r="AA203" s="3"/>
      <c r="AB203" s="172"/>
      <c r="AC203" s="23"/>
      <c r="AD203" s="23"/>
      <c r="AE203" s="23"/>
      <c r="AF203" s="23"/>
      <c r="AG203" s="23"/>
      <c r="AH203" s="23"/>
      <c r="AI203" s="23"/>
      <c r="AJ203" s="23"/>
      <c r="AK203" s="23"/>
      <c r="AL203" s="23"/>
      <c r="AM203" s="23"/>
      <c r="AN203" s="23"/>
      <c r="AO203" s="23"/>
      <c r="AP203" s="23"/>
      <c r="AQ203" s="23"/>
      <c r="AR203" s="23"/>
      <c r="AS203" s="23"/>
      <c r="AT203" s="23"/>
      <c r="AU203" s="23"/>
      <c r="AV203" s="23"/>
      <c r="AW203" s="23"/>
      <c r="AX203" s="23"/>
      <c r="AY203" s="23"/>
    </row>
    <row r="204" spans="1:51" ht="18.75" hidden="1" customHeight="1" outlineLevel="1" x14ac:dyDescent="0.25">
      <c r="A204" s="7" t="s">
        <v>57</v>
      </c>
      <c r="B204" s="138" t="s">
        <v>59</v>
      </c>
      <c r="C204" s="138" t="s">
        <v>58</v>
      </c>
      <c r="D204" s="138" t="s">
        <v>94</v>
      </c>
      <c r="E204" s="138" t="s">
        <v>61</v>
      </c>
      <c r="F204" s="17" t="s">
        <v>54</v>
      </c>
      <c r="G204" s="145" t="s">
        <v>52</v>
      </c>
      <c r="H204" s="138" t="s">
        <v>29</v>
      </c>
      <c r="I204" s="138" t="s">
        <v>31</v>
      </c>
      <c r="J204" s="23"/>
      <c r="K204" s="141">
        <f>K202</f>
        <v>0</v>
      </c>
      <c r="L204" s="141">
        <f>I202</f>
        <v>6138.9832440944874</v>
      </c>
      <c r="M204" s="141">
        <f>M200</f>
        <v>3060</v>
      </c>
      <c r="N204" s="141">
        <f>N200</f>
        <v>8451.443569553805</v>
      </c>
      <c r="O204" s="141">
        <f>N204-(((N204)*(L204-M204))/L204)</f>
        <v>4212.6548150644539</v>
      </c>
      <c r="P204" s="144"/>
      <c r="Q204" s="64"/>
      <c r="R204" s="23"/>
      <c r="S204" s="23"/>
      <c r="T204" s="23"/>
      <c r="U204" s="23"/>
      <c r="W204" s="23"/>
      <c r="X204" s="23"/>
      <c r="Y204" s="23"/>
      <c r="Z204" s="23"/>
      <c r="AA204" s="23"/>
      <c r="AB204" s="172"/>
      <c r="AC204" s="23"/>
      <c r="AD204" s="23"/>
      <c r="AE204" s="23"/>
      <c r="AF204" s="23"/>
      <c r="AG204" s="23"/>
      <c r="AH204" s="23"/>
      <c r="AI204" s="23"/>
      <c r="AJ204" s="23"/>
      <c r="AK204" s="23"/>
      <c r="AL204" s="23"/>
      <c r="AM204" s="23"/>
      <c r="AN204" s="23"/>
      <c r="AO204" s="23"/>
      <c r="AP204" s="23"/>
      <c r="AQ204" s="23"/>
      <c r="AR204" s="23"/>
      <c r="AS204" s="23"/>
      <c r="AT204" s="23"/>
      <c r="AU204" s="23"/>
      <c r="AV204" s="23"/>
      <c r="AW204" s="23"/>
      <c r="AX204" s="23"/>
      <c r="AY204" s="23"/>
    </row>
    <row r="205" spans="1:51" ht="18.75" hidden="1" customHeight="1" outlineLevel="1" x14ac:dyDescent="0.25">
      <c r="A205" s="23"/>
      <c r="B205" s="154">
        <v>100</v>
      </c>
      <c r="C205" s="146">
        <v>15</v>
      </c>
      <c r="D205" s="15">
        <f>W202</f>
        <v>1366.0858738459192</v>
      </c>
      <c r="E205" s="15">
        <f>D205*C205</f>
        <v>20491.288107688786</v>
      </c>
      <c r="F205" s="146">
        <v>4.4080000000000004</v>
      </c>
      <c r="G205" s="146">
        <v>0.29599999999999999</v>
      </c>
      <c r="H205" s="146">
        <f>2*G205+F205</f>
        <v>5</v>
      </c>
      <c r="I205" s="146">
        <f>(3.14159/4)*(H205^2-F205^2)</f>
        <v>4.3742996505599967</v>
      </c>
      <c r="J205" s="23"/>
      <c r="K205" s="15">
        <f>K204</f>
        <v>0</v>
      </c>
      <c r="L205" s="15">
        <f>L204</f>
        <v>6138.9832440944874</v>
      </c>
      <c r="M205" s="15">
        <f>M201</f>
        <v>5560</v>
      </c>
      <c r="N205" s="15">
        <f>N204</f>
        <v>8451.443569553805</v>
      </c>
      <c r="O205" s="141">
        <f>N205-(((N205)*(L205-M205))/L205)</f>
        <v>7654.3662652805106</v>
      </c>
      <c r="P205" s="144"/>
      <c r="Q205" s="64"/>
      <c r="R205" s="23"/>
      <c r="S205" s="23"/>
      <c r="T205" s="23"/>
      <c r="U205" s="23"/>
      <c r="W205" s="23"/>
      <c r="X205" s="23"/>
      <c r="Y205" s="23"/>
      <c r="Z205" s="23"/>
      <c r="AA205" s="23"/>
      <c r="AB205" s="172"/>
      <c r="AC205" s="23"/>
      <c r="AD205" s="23"/>
      <c r="AE205" s="23"/>
      <c r="AF205" s="23"/>
      <c r="AG205" s="23"/>
      <c r="AH205" s="23"/>
      <c r="AI205" s="23"/>
      <c r="AJ205" s="23"/>
      <c r="AK205" s="23"/>
      <c r="AL205" s="23"/>
      <c r="AM205" s="23"/>
      <c r="AN205" s="23"/>
      <c r="AO205" s="23"/>
      <c r="AP205" s="23"/>
      <c r="AQ205" s="23"/>
      <c r="AR205" s="23"/>
      <c r="AS205" s="23"/>
      <c r="AT205" s="23"/>
      <c r="AU205" s="23"/>
      <c r="AV205" s="23"/>
      <c r="AW205" s="23"/>
      <c r="AX205" s="23"/>
      <c r="AY205" s="23"/>
    </row>
    <row r="206" spans="1:51" ht="18.75" hidden="1" customHeight="1" outlineLevel="1" x14ac:dyDescent="0.25">
      <c r="A206" s="23"/>
      <c r="B206" s="138">
        <v>110</v>
      </c>
      <c r="C206" s="138" t="s">
        <v>58</v>
      </c>
      <c r="D206" s="138" t="s">
        <v>94</v>
      </c>
      <c r="E206" s="138" t="s">
        <v>61</v>
      </c>
      <c r="F206" s="17" t="s">
        <v>54</v>
      </c>
      <c r="G206" s="145" t="s">
        <v>52</v>
      </c>
      <c r="H206" s="138" t="s">
        <v>29</v>
      </c>
      <c r="I206" s="138" t="s">
        <v>31</v>
      </c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W206" s="23"/>
      <c r="X206" s="23"/>
      <c r="Y206" s="23"/>
      <c r="Z206" s="23"/>
      <c r="AA206" s="23"/>
      <c r="AB206" s="172"/>
      <c r="AC206" s="23"/>
      <c r="AD206" s="23"/>
      <c r="AE206" s="23"/>
      <c r="AF206" s="23"/>
      <c r="AG206" s="23"/>
      <c r="AH206" s="23"/>
      <c r="AI206" s="23"/>
      <c r="AJ206" s="23"/>
      <c r="AK206" s="23"/>
      <c r="AL206" s="23"/>
      <c r="AM206" s="23"/>
      <c r="AN206" s="23"/>
      <c r="AO206" s="23"/>
      <c r="AP206" s="23"/>
      <c r="AQ206" s="23"/>
      <c r="AR206" s="23"/>
      <c r="AS206" s="23"/>
      <c r="AT206" s="23"/>
      <c r="AU206" s="23"/>
      <c r="AV206" s="23"/>
      <c r="AW206" s="23"/>
      <c r="AX206" s="23"/>
      <c r="AY206" s="23"/>
    </row>
    <row r="207" spans="1:51" ht="18.75" hidden="1" customHeight="1" outlineLevel="1" x14ac:dyDescent="0.25">
      <c r="A207" s="23"/>
      <c r="B207" s="146">
        <v>3000</v>
      </c>
      <c r="C207" s="146"/>
      <c r="D207" s="15"/>
      <c r="E207" s="15"/>
      <c r="F207" s="146"/>
      <c r="G207" s="146"/>
      <c r="H207" s="146"/>
      <c r="I207" s="146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W207" s="23"/>
      <c r="X207" s="23"/>
      <c r="Y207" s="23"/>
      <c r="Z207" s="23"/>
      <c r="AA207" s="23"/>
      <c r="AB207" s="172"/>
      <c r="AC207" s="23"/>
      <c r="AD207" s="23"/>
      <c r="AE207" s="23"/>
      <c r="AF207" s="23"/>
      <c r="AG207" s="23"/>
      <c r="AH207" s="23"/>
      <c r="AI207" s="23"/>
      <c r="AJ207" s="23"/>
      <c r="AK207" s="23"/>
      <c r="AL207" s="23"/>
      <c r="AM207" s="23"/>
      <c r="AN207" s="23"/>
      <c r="AO207" s="23"/>
      <c r="AP207" s="23"/>
      <c r="AQ207" s="23"/>
      <c r="AR207" s="23"/>
      <c r="AS207" s="23"/>
      <c r="AT207" s="23"/>
      <c r="AU207" s="23"/>
      <c r="AV207" s="23"/>
      <c r="AW207" s="23"/>
      <c r="AX207" s="23"/>
      <c r="AY207" s="23"/>
    </row>
    <row r="208" spans="1:51" ht="18.75" hidden="1" customHeight="1" outlineLevel="1" x14ac:dyDescent="0.25">
      <c r="A208" s="23"/>
      <c r="B208" s="26" t="s">
        <v>65</v>
      </c>
      <c r="C208" s="138" t="s">
        <v>64</v>
      </c>
      <c r="D208" s="29" t="s">
        <v>28</v>
      </c>
      <c r="E208" s="159" t="s">
        <v>66</v>
      </c>
      <c r="F208" s="138" t="s">
        <v>67</v>
      </c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W208" s="23"/>
      <c r="X208" s="23"/>
      <c r="Y208" s="23"/>
      <c r="Z208" s="23"/>
      <c r="AA208" s="23"/>
      <c r="AB208" s="172"/>
      <c r="AC208" s="23"/>
      <c r="AD208" s="23"/>
      <c r="AE208" s="23"/>
      <c r="AF208" s="23"/>
      <c r="AG208" s="23"/>
      <c r="AH208" s="23"/>
      <c r="AI208" s="23"/>
      <c r="AJ208" s="23"/>
      <c r="AK208" s="23"/>
      <c r="AL208" s="23"/>
      <c r="AM208" s="23"/>
      <c r="AN208" s="23"/>
      <c r="AO208" s="23"/>
      <c r="AP208" s="23"/>
      <c r="AQ208" s="23"/>
      <c r="AR208" s="23"/>
      <c r="AS208" s="23"/>
      <c r="AT208" s="23"/>
      <c r="AU208" s="23"/>
      <c r="AV208" s="23"/>
      <c r="AW208" s="23"/>
      <c r="AX208" s="23"/>
      <c r="AY208" s="23"/>
    </row>
    <row r="209" spans="1:51" ht="18.75" hidden="1" customHeight="1" outlineLevel="1" x14ac:dyDescent="0.25">
      <c r="A209" s="23"/>
      <c r="B209" s="15">
        <f>K8*I205</f>
        <v>23933.825543169514</v>
      </c>
      <c r="C209" s="15">
        <f>E205-B209+E207</f>
        <v>-3442.5374354807282</v>
      </c>
      <c r="D209" s="146">
        <v>75000</v>
      </c>
      <c r="E209" s="28">
        <f>(B209/I205)/D209</f>
        <v>7.2952860892388449E-2</v>
      </c>
      <c r="F209" s="28">
        <f>(C209/I205)/D209</f>
        <v>-1.0493222414213637E-2</v>
      </c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W209" s="23"/>
      <c r="X209" s="23"/>
      <c r="Y209" s="23"/>
      <c r="Z209" s="23"/>
      <c r="AA209" s="23"/>
      <c r="AB209" s="172"/>
      <c r="AC209" s="23"/>
      <c r="AD209" s="23"/>
      <c r="AE209" s="23"/>
      <c r="AF209" s="23"/>
      <c r="AG209" s="23"/>
      <c r="AH209" s="23"/>
      <c r="AI209" s="23"/>
      <c r="AJ209" s="23"/>
      <c r="AK209" s="23"/>
      <c r="AL209" s="23"/>
      <c r="AM209" s="23"/>
      <c r="AN209" s="23"/>
      <c r="AO209" s="23"/>
      <c r="AP209" s="23"/>
      <c r="AQ209" s="23"/>
      <c r="AR209" s="23"/>
      <c r="AS209" s="23"/>
      <c r="AT209" s="23"/>
      <c r="AU209" s="23"/>
      <c r="AV209" s="23"/>
      <c r="AW209" s="23"/>
      <c r="AX209" s="23"/>
      <c r="AY209" s="23"/>
    </row>
    <row r="210" spans="1:51" ht="18.75" hidden="1" customHeight="1" outlineLevel="1" x14ac:dyDescent="0.25">
      <c r="A210" s="23"/>
      <c r="B210" s="23"/>
      <c r="C210" s="23"/>
      <c r="D210" s="23"/>
      <c r="E210" s="159" t="s">
        <v>62</v>
      </c>
      <c r="F210" s="138" t="s">
        <v>62</v>
      </c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W210" s="23"/>
      <c r="X210" s="23"/>
      <c r="Y210" s="23"/>
      <c r="Z210" s="23"/>
      <c r="AA210" s="23"/>
      <c r="AB210" s="172"/>
      <c r="AC210" s="23"/>
      <c r="AD210" s="23"/>
      <c r="AE210" s="23"/>
      <c r="AF210" s="23"/>
      <c r="AG210" s="23"/>
      <c r="AH210" s="23"/>
      <c r="AI210" s="23"/>
      <c r="AJ210" s="23"/>
      <c r="AK210" s="23"/>
      <c r="AL210" s="23"/>
      <c r="AM210" s="23"/>
      <c r="AN210" s="23"/>
      <c r="AO210" s="23"/>
      <c r="AP210" s="23"/>
      <c r="AQ210" s="23"/>
      <c r="AR210" s="23"/>
      <c r="AS210" s="23"/>
      <c r="AT210" s="23"/>
      <c r="AU210" s="23"/>
      <c r="AV210" s="23"/>
      <c r="AW210" s="23"/>
      <c r="AX210" s="23"/>
      <c r="AY210" s="23"/>
    </row>
    <row r="211" spans="1:51" ht="18.75" hidden="1" customHeight="1" outlineLevel="1" x14ac:dyDescent="0.25">
      <c r="A211" s="23"/>
      <c r="B211" s="23"/>
      <c r="C211" s="23"/>
      <c r="D211" s="23"/>
      <c r="E211" s="28">
        <v>0.02</v>
      </c>
      <c r="F211" s="28">
        <v>0.1</v>
      </c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W211" s="23"/>
      <c r="X211" s="23"/>
      <c r="Y211" s="23"/>
      <c r="Z211" s="23"/>
      <c r="AA211" s="23"/>
      <c r="AB211" s="172"/>
      <c r="AC211" s="23"/>
      <c r="AD211" s="23"/>
      <c r="AE211" s="23"/>
      <c r="AF211" s="23"/>
      <c r="AG211" s="23"/>
      <c r="AH211" s="23"/>
      <c r="AI211" s="23"/>
      <c r="AJ211" s="23"/>
      <c r="AK211" s="23"/>
      <c r="AL211" s="23"/>
      <c r="AM211" s="23"/>
      <c r="AN211" s="23"/>
      <c r="AO211" s="23"/>
      <c r="AP211" s="23"/>
      <c r="AQ211" s="23"/>
      <c r="AR211" s="23"/>
      <c r="AS211" s="23"/>
      <c r="AT211" s="23"/>
      <c r="AU211" s="23"/>
      <c r="AV211" s="23"/>
      <c r="AW211" s="23"/>
      <c r="AX211" s="23"/>
      <c r="AY211" s="23"/>
    </row>
    <row r="212" spans="1:51" ht="18.75" hidden="1" customHeight="1" outlineLevel="1" x14ac:dyDescent="0.25">
      <c r="A212" s="23"/>
      <c r="B212" s="23"/>
      <c r="C212" s="23"/>
      <c r="D212" s="23"/>
      <c r="E212" s="159" t="s">
        <v>63</v>
      </c>
      <c r="F212" s="138" t="s">
        <v>63</v>
      </c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W212" s="23"/>
      <c r="X212" s="23"/>
      <c r="Y212" s="23"/>
      <c r="Z212" s="23"/>
      <c r="AA212" s="23"/>
      <c r="AB212" s="172"/>
      <c r="AC212" s="23"/>
      <c r="AD212" s="23"/>
      <c r="AE212" s="23"/>
      <c r="AF212" s="23"/>
      <c r="AG212" s="23"/>
      <c r="AH212" s="23"/>
      <c r="AI212" s="23"/>
      <c r="AJ212" s="23"/>
      <c r="AK212" s="23"/>
      <c r="AL212" s="23"/>
      <c r="AM212" s="23"/>
      <c r="AN212" s="23"/>
      <c r="AO212" s="23"/>
      <c r="AP212" s="23"/>
      <c r="AQ212" s="23"/>
      <c r="AR212" s="23"/>
      <c r="AS212" s="23"/>
      <c r="AT212" s="23"/>
      <c r="AU212" s="23"/>
      <c r="AV212" s="23"/>
      <c r="AW212" s="23"/>
      <c r="AX212" s="23"/>
      <c r="AY212" s="23"/>
    </row>
    <row r="213" spans="1:51" ht="18.75" hidden="1" customHeight="1" outlineLevel="1" x14ac:dyDescent="0.25">
      <c r="A213" s="23"/>
      <c r="B213" s="23"/>
      <c r="C213" s="23"/>
      <c r="D213" s="23"/>
      <c r="E213" s="28">
        <v>0.02</v>
      </c>
      <c r="F213" s="28">
        <v>0.2</v>
      </c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W213" s="23"/>
      <c r="X213" s="23"/>
      <c r="Y213" s="23"/>
      <c r="Z213" s="23"/>
      <c r="AA213" s="23"/>
      <c r="AB213" s="172"/>
      <c r="AC213" s="23"/>
      <c r="AD213" s="23"/>
      <c r="AE213" s="23"/>
      <c r="AF213" s="23"/>
      <c r="AG213" s="23"/>
      <c r="AH213" s="23"/>
      <c r="AI213" s="23"/>
      <c r="AJ213" s="23"/>
      <c r="AK213" s="23"/>
      <c r="AL213" s="23"/>
      <c r="AM213" s="23"/>
      <c r="AN213" s="23"/>
      <c r="AO213" s="23"/>
      <c r="AP213" s="23"/>
      <c r="AQ213" s="23"/>
      <c r="AR213" s="23"/>
      <c r="AS213" s="23"/>
      <c r="AT213" s="23"/>
      <c r="AU213" s="23"/>
      <c r="AV213" s="23"/>
      <c r="AW213" s="23"/>
      <c r="AX213" s="23"/>
      <c r="AY213" s="23"/>
    </row>
    <row r="214" spans="1:51" ht="18.75" hidden="1" customHeight="1" outlineLevel="1" x14ac:dyDescent="0.25">
      <c r="A214" s="23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W214" s="23"/>
      <c r="X214" s="23"/>
      <c r="Y214" s="23"/>
      <c r="Z214" s="23"/>
      <c r="AA214" s="23"/>
      <c r="AB214" s="172"/>
      <c r="AC214" s="23"/>
      <c r="AD214" s="23"/>
      <c r="AE214" s="23"/>
      <c r="AF214" s="23"/>
      <c r="AG214" s="23"/>
      <c r="AH214" s="23"/>
      <c r="AI214" s="23"/>
      <c r="AJ214" s="23"/>
      <c r="AK214" s="23"/>
      <c r="AL214" s="23"/>
      <c r="AM214" s="23"/>
      <c r="AN214" s="23"/>
      <c r="AO214" s="23"/>
      <c r="AP214" s="23"/>
      <c r="AQ214" s="23"/>
      <c r="AR214" s="23"/>
      <c r="AS214" s="23"/>
      <c r="AT214" s="23"/>
      <c r="AU214" s="23"/>
      <c r="AV214" s="23"/>
      <c r="AW214" s="23"/>
      <c r="AX214" s="23"/>
      <c r="AY214" s="23"/>
    </row>
    <row r="215" spans="1:51" ht="18.75" hidden="1" customHeight="1" outlineLevel="1" x14ac:dyDescent="0.2">
      <c r="A215" s="7" t="s">
        <v>115</v>
      </c>
      <c r="B215" s="88" t="s">
        <v>103</v>
      </c>
      <c r="C215" s="89" t="s">
        <v>104</v>
      </c>
      <c r="D215" s="89" t="s">
        <v>105</v>
      </c>
      <c r="E215" s="90" t="s">
        <v>106</v>
      </c>
      <c r="F215" s="90" t="s">
        <v>113</v>
      </c>
      <c r="G215" s="89" t="s">
        <v>107</v>
      </c>
      <c r="H215" s="89" t="s">
        <v>108</v>
      </c>
      <c r="I215" s="89" t="s">
        <v>109</v>
      </c>
      <c r="J215" s="90" t="s">
        <v>110</v>
      </c>
      <c r="K215" s="23"/>
      <c r="L215" s="196"/>
      <c r="M215" s="121"/>
      <c r="N215" s="121"/>
      <c r="O215" s="122"/>
      <c r="P215" s="122"/>
      <c r="Q215" s="121"/>
      <c r="R215" s="121"/>
      <c r="S215" s="121"/>
      <c r="T215" s="122"/>
      <c r="U215" s="23"/>
      <c r="W215" s="23"/>
      <c r="X215" s="23"/>
      <c r="Y215" s="23"/>
      <c r="Z215" s="23"/>
      <c r="AA215" s="23"/>
      <c r="AB215" s="172"/>
      <c r="AC215" s="23"/>
      <c r="AD215" s="23"/>
      <c r="AE215" s="23"/>
      <c r="AF215" s="23"/>
      <c r="AG215" s="23"/>
      <c r="AH215" s="23"/>
      <c r="AI215" s="23"/>
      <c r="AJ215" s="23"/>
      <c r="AK215" s="23"/>
      <c r="AL215" s="23"/>
      <c r="AM215" s="23"/>
      <c r="AN215" s="23"/>
      <c r="AO215" s="23"/>
      <c r="AP215" s="23"/>
      <c r="AQ215" s="23"/>
      <c r="AR215" s="23"/>
      <c r="AS215" s="23"/>
      <c r="AT215" s="23"/>
      <c r="AU215" s="23"/>
      <c r="AV215" s="23"/>
      <c r="AW215" s="23"/>
      <c r="AX215" s="23"/>
      <c r="AY215" s="23"/>
    </row>
    <row r="216" spans="1:51" ht="18.75" hidden="1" customHeight="1" outlineLevel="1" x14ac:dyDescent="0.2">
      <c r="A216" s="23"/>
      <c r="B216" s="91">
        <v>40</v>
      </c>
      <c r="C216" s="91">
        <f>F205</f>
        <v>4.4080000000000004</v>
      </c>
      <c r="D216" s="91">
        <f>G205</f>
        <v>0.29599999999999999</v>
      </c>
      <c r="E216" s="91">
        <v>3.8</v>
      </c>
      <c r="F216" s="91">
        <f>218*(C216+2*D216)*(E216)</f>
        <v>4142</v>
      </c>
      <c r="G216" s="91">
        <f>(3.14159/64)*(((C216+2*D216)^4)-C216^4)</f>
        <v>12.147010196838659</v>
      </c>
      <c r="H216" s="91">
        <f>-(E205+E207-B209)</f>
        <v>3442.5374354807282</v>
      </c>
      <c r="I216" s="92">
        <f>((H216/(G216*30000000))^0.5)</f>
        <v>3.0735763827794541E-3</v>
      </c>
      <c r="J216" s="91">
        <f>(F216*6*I216*B216)/(TANH((6*I216*B216)))</f>
        <v>4867.3619299054462</v>
      </c>
      <c r="K216" s="23"/>
      <c r="L216" s="197"/>
      <c r="M216" s="197"/>
      <c r="N216" s="197"/>
      <c r="O216" s="197"/>
      <c r="P216" s="197"/>
      <c r="Q216" s="197"/>
      <c r="R216" s="197"/>
      <c r="S216" s="198"/>
      <c r="T216" s="197"/>
      <c r="U216" s="23"/>
      <c r="W216" s="23"/>
      <c r="X216" s="23"/>
      <c r="Y216" s="23"/>
      <c r="Z216" s="23"/>
      <c r="AA216" s="23"/>
      <c r="AB216" s="172"/>
      <c r="AC216" s="23"/>
      <c r="AD216" s="23"/>
      <c r="AE216" s="23"/>
      <c r="AF216" s="23"/>
      <c r="AG216" s="23"/>
      <c r="AH216" s="23"/>
      <c r="AI216" s="23"/>
      <c r="AJ216" s="23"/>
      <c r="AK216" s="23"/>
      <c r="AL216" s="23"/>
      <c r="AM216" s="23"/>
      <c r="AN216" s="23"/>
      <c r="AO216" s="23"/>
      <c r="AP216" s="23"/>
      <c r="AQ216" s="23"/>
      <c r="AR216" s="23"/>
      <c r="AS216" s="23"/>
      <c r="AT216" s="23"/>
      <c r="AU216" s="23"/>
      <c r="AV216" s="23"/>
      <c r="AW216" s="23"/>
      <c r="AX216" s="23"/>
      <c r="AY216" s="23"/>
    </row>
    <row r="217" spans="1:51" ht="18.75" hidden="1" customHeight="1" outlineLevel="1" x14ac:dyDescent="0.2">
      <c r="A217" s="23"/>
      <c r="B217" s="89" t="s">
        <v>29</v>
      </c>
      <c r="C217" s="89" t="s">
        <v>31</v>
      </c>
      <c r="D217" s="89" t="s">
        <v>111</v>
      </c>
      <c r="E217" s="90" t="s">
        <v>112</v>
      </c>
      <c r="F217" s="89" t="s">
        <v>114</v>
      </c>
      <c r="G217" s="413" t="str">
        <f>IF(J218&lt;E218,"We ignore bending effect!","Bending is effective")</f>
        <v>We ignore bending effect!</v>
      </c>
      <c r="H217" s="414"/>
      <c r="I217" s="93"/>
      <c r="J217" s="89" t="s">
        <v>114</v>
      </c>
      <c r="K217" s="23"/>
      <c r="L217" s="121"/>
      <c r="M217" s="121"/>
      <c r="N217" s="121"/>
      <c r="O217" s="122"/>
      <c r="P217" s="121"/>
      <c r="Q217" s="199"/>
      <c r="R217" s="199"/>
      <c r="S217" s="200"/>
      <c r="T217" s="200"/>
      <c r="U217" s="23"/>
      <c r="W217" s="23"/>
      <c r="X217" s="23"/>
      <c r="Y217" s="23"/>
      <c r="Z217" s="23"/>
      <c r="AA217" s="23"/>
      <c r="AB217" s="172"/>
      <c r="AC217" s="23"/>
      <c r="AD217" s="23"/>
      <c r="AE217" s="23"/>
      <c r="AF217" s="23"/>
      <c r="AG217" s="23"/>
      <c r="AH217" s="23"/>
      <c r="AI217" s="23"/>
      <c r="AJ217" s="23"/>
      <c r="AK217" s="23"/>
      <c r="AL217" s="23"/>
      <c r="AM217" s="23"/>
      <c r="AN217" s="23"/>
      <c r="AO217" s="23"/>
      <c r="AP217" s="23"/>
      <c r="AQ217" s="23"/>
      <c r="AR217" s="23"/>
      <c r="AS217" s="23"/>
      <c r="AT217" s="23"/>
      <c r="AU217" s="23"/>
      <c r="AV217" s="23"/>
      <c r="AW217" s="23"/>
      <c r="AX217" s="23"/>
      <c r="AY217" s="23"/>
    </row>
    <row r="218" spans="1:51" ht="18.75" hidden="1" customHeight="1" outlineLevel="1" x14ac:dyDescent="0.2">
      <c r="A218" s="23"/>
      <c r="B218" s="91">
        <f>C216+2*D216</f>
        <v>5</v>
      </c>
      <c r="C218" s="91">
        <f>(3.14159/4)*(B218^2-C216^2)</f>
        <v>4.3742996505599967</v>
      </c>
      <c r="D218" s="91">
        <f>H216/C218</f>
        <v>786.99168106602281</v>
      </c>
      <c r="E218" s="91">
        <v>75000</v>
      </c>
      <c r="F218" s="91">
        <f>F216+D218</f>
        <v>4928.9916810660225</v>
      </c>
      <c r="G218" s="141"/>
      <c r="H218" s="141"/>
      <c r="I218" s="93"/>
      <c r="J218" s="91">
        <f>J216+D218</f>
        <v>5654.3536109714687</v>
      </c>
      <c r="K218" s="23"/>
      <c r="L218" s="197"/>
      <c r="M218" s="197"/>
      <c r="N218" s="197"/>
      <c r="O218" s="197"/>
      <c r="P218" s="197"/>
      <c r="Q218" s="120"/>
      <c r="R218" s="120"/>
      <c r="S218" s="123"/>
      <c r="T218" s="197"/>
      <c r="U218" s="23"/>
      <c r="W218" s="23"/>
      <c r="X218" s="23"/>
      <c r="Y218" s="23"/>
      <c r="Z218" s="23"/>
      <c r="AA218" s="23"/>
      <c r="AB218" s="172"/>
      <c r="AC218" s="23"/>
      <c r="AD218" s="72"/>
      <c r="AE218" s="72"/>
      <c r="AF218" s="72"/>
      <c r="AG218" s="72"/>
      <c r="AH218" s="72"/>
      <c r="AI218" s="72"/>
      <c r="AJ218" s="72"/>
      <c r="AK218" s="72"/>
      <c r="AL218" s="72"/>
      <c r="AM218" s="72"/>
      <c r="AN218" s="72"/>
      <c r="AO218" s="72"/>
      <c r="AP218" s="72"/>
      <c r="AQ218" s="23"/>
      <c r="AR218" s="23"/>
      <c r="AS218" s="23"/>
      <c r="AT218" s="23"/>
      <c r="AU218" s="23"/>
      <c r="AV218" s="23"/>
      <c r="AW218" s="23"/>
      <c r="AX218" s="23"/>
      <c r="AY218" s="23"/>
    </row>
    <row r="219" spans="1:51" ht="18.75" hidden="1" customHeight="1" outlineLevel="1" x14ac:dyDescent="0.2">
      <c r="A219" s="41"/>
      <c r="B219" s="121"/>
      <c r="C219" s="121"/>
      <c r="D219" s="121"/>
      <c r="E219" s="122"/>
      <c r="F219" s="121"/>
      <c r="G219" s="120"/>
      <c r="H219" s="120"/>
      <c r="I219" s="123"/>
      <c r="J219" s="12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173"/>
      <c r="AC219" s="41"/>
      <c r="AD219" s="23"/>
      <c r="AE219" s="23"/>
      <c r="AF219" s="23"/>
      <c r="AG219" s="23"/>
      <c r="AH219" s="23"/>
      <c r="AI219" s="23"/>
      <c r="AJ219" s="23"/>
      <c r="AK219" s="23"/>
      <c r="AL219" s="23"/>
      <c r="AM219" s="23"/>
      <c r="AN219" s="23"/>
      <c r="AO219" s="23"/>
      <c r="AP219" s="23"/>
      <c r="AQ219" s="23"/>
      <c r="AR219" s="23"/>
      <c r="AS219" s="23"/>
      <c r="AT219" s="23"/>
      <c r="AU219" s="23"/>
      <c r="AV219" s="23"/>
      <c r="AW219" s="23"/>
      <c r="AX219" s="23"/>
      <c r="AY219" s="23"/>
    </row>
    <row r="220" spans="1:51" s="9" customFormat="1" ht="18.75" customHeight="1" collapsed="1" x14ac:dyDescent="0.25">
      <c r="A220" s="201"/>
      <c r="B220" s="201"/>
      <c r="C220" s="201"/>
      <c r="D220" s="201"/>
      <c r="E220" s="201"/>
      <c r="F220" s="201"/>
      <c r="G220" s="201"/>
      <c r="H220" s="201"/>
      <c r="I220" s="201"/>
      <c r="J220" s="201"/>
      <c r="K220" s="201"/>
      <c r="L220" s="201"/>
      <c r="M220" s="201"/>
      <c r="N220" s="201"/>
      <c r="O220" s="201"/>
      <c r="P220" s="201"/>
      <c r="Q220" s="201"/>
      <c r="R220" s="201"/>
      <c r="S220" s="201"/>
      <c r="T220" s="201"/>
      <c r="U220" s="201"/>
      <c r="V220" s="201"/>
      <c r="W220" s="201"/>
      <c r="X220" s="201"/>
      <c r="Y220" s="201"/>
      <c r="Z220" s="201"/>
      <c r="AA220" s="201"/>
      <c r="AB220" s="172"/>
    </row>
    <row r="221" spans="1:51" ht="18.75" customHeight="1" x14ac:dyDescent="0.25">
      <c r="A221" s="23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W221" s="23"/>
      <c r="X221" s="23"/>
      <c r="Y221" s="23"/>
      <c r="Z221" s="23"/>
      <c r="AA221" s="23"/>
      <c r="AC221" s="23"/>
      <c r="AD221" s="23"/>
    </row>
    <row r="222" spans="1:51" ht="18.75" customHeight="1" x14ac:dyDescent="0.25">
      <c r="A222" s="23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W222" s="23"/>
      <c r="X222" s="23"/>
      <c r="Y222" s="23"/>
      <c r="Z222" s="23"/>
      <c r="AA222" s="23"/>
      <c r="AC222" s="23"/>
      <c r="AD222" s="23"/>
    </row>
    <row r="223" spans="1:51" ht="18.75" customHeight="1" x14ac:dyDescent="0.25">
      <c r="A223" s="23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W223" s="23"/>
      <c r="X223" s="23"/>
      <c r="Y223" s="23"/>
      <c r="Z223" s="23"/>
      <c r="AA223" s="23"/>
      <c r="AC223" s="23"/>
      <c r="AD223" s="23"/>
    </row>
    <row r="224" spans="1:51" ht="18.75" customHeight="1" x14ac:dyDescent="0.25">
      <c r="A224" s="23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W224" s="23"/>
      <c r="X224" s="23"/>
      <c r="Y224" s="23"/>
      <c r="Z224" s="23"/>
      <c r="AA224" s="23"/>
      <c r="AC224" s="23"/>
      <c r="AD224" s="23"/>
    </row>
    <row r="225" spans="1:30" ht="18.75" customHeight="1" x14ac:dyDescent="0.25">
      <c r="A225" s="23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W225" s="23"/>
      <c r="X225" s="23"/>
      <c r="Y225" s="23"/>
      <c r="Z225" s="23"/>
      <c r="AA225" s="23"/>
      <c r="AC225" s="23"/>
      <c r="AD225" s="23"/>
    </row>
    <row r="226" spans="1:30" ht="18.75" customHeight="1" x14ac:dyDescent="0.25">
      <c r="A226" s="23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W226" s="23"/>
      <c r="X226" s="23"/>
      <c r="Y226" s="23"/>
      <c r="Z226" s="23"/>
      <c r="AA226" s="23"/>
      <c r="AC226" s="23"/>
      <c r="AD226" s="23"/>
    </row>
    <row r="227" spans="1:30" ht="18.75" customHeight="1" x14ac:dyDescent="0.25">
      <c r="A227" s="23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W227" s="23"/>
      <c r="X227" s="23"/>
      <c r="Y227" s="23"/>
      <c r="Z227" s="23"/>
      <c r="AA227" s="23"/>
      <c r="AC227" s="23"/>
      <c r="AD227" s="23"/>
    </row>
    <row r="228" spans="1:30" ht="18.75" customHeight="1" x14ac:dyDescent="0.25">
      <c r="A228" s="23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W228" s="23"/>
      <c r="X228" s="23"/>
      <c r="Y228" s="23"/>
      <c r="Z228" s="23"/>
      <c r="AA228" s="23"/>
      <c r="AC228" s="23"/>
      <c r="AD228" s="23"/>
    </row>
    <row r="229" spans="1:30" ht="18.75" customHeight="1" x14ac:dyDescent="0.25">
      <c r="A229" s="23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W229" s="23"/>
      <c r="X229" s="23"/>
      <c r="Y229" s="23"/>
      <c r="Z229" s="23"/>
      <c r="AA229" s="23"/>
      <c r="AC229" s="23"/>
      <c r="AD229" s="23"/>
    </row>
    <row r="230" spans="1:30" ht="18.75" customHeight="1" x14ac:dyDescent="0.25">
      <c r="A230" s="23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W230" s="23"/>
      <c r="X230" s="23"/>
      <c r="Y230" s="23"/>
      <c r="Z230" s="23"/>
      <c r="AA230" s="23"/>
      <c r="AC230" s="23"/>
      <c r="AD230" s="23"/>
    </row>
    <row r="231" spans="1:30" ht="18.75" customHeight="1" x14ac:dyDescent="0.25">
      <c r="A231" s="23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W231" s="23"/>
      <c r="X231" s="23"/>
      <c r="Y231" s="23"/>
      <c r="Z231" s="23"/>
      <c r="AA231" s="23"/>
      <c r="AC231" s="23"/>
      <c r="AD231" s="23"/>
    </row>
    <row r="232" spans="1:30" ht="18.75" customHeight="1" x14ac:dyDescent="0.25">
      <c r="A232" s="23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W232" s="23"/>
      <c r="X232" s="23"/>
      <c r="Y232" s="23"/>
      <c r="Z232" s="23"/>
      <c r="AA232" s="23"/>
      <c r="AC232" s="23"/>
      <c r="AD232" s="23"/>
    </row>
    <row r="233" spans="1:30" ht="18.75" customHeight="1" x14ac:dyDescent="0.25">
      <c r="A233" s="23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W233" s="23"/>
      <c r="X233" s="23"/>
      <c r="Y233" s="23"/>
      <c r="Z233" s="23"/>
      <c r="AA233" s="23"/>
      <c r="AC233" s="23"/>
      <c r="AD233" s="23"/>
    </row>
    <row r="253" spans="4:4" ht="18.75" customHeight="1" x14ac:dyDescent="0.25">
      <c r="D253" s="1">
        <v>3</v>
      </c>
    </row>
    <row r="263" spans="2:2" ht="18.75" customHeight="1" x14ac:dyDescent="0.25">
      <c r="B263" s="23" t="s">
        <v>153</v>
      </c>
    </row>
    <row r="267" spans="2:2" ht="18.75" customHeight="1" x14ac:dyDescent="0.25">
      <c r="B267" s="1">
        <v>100</v>
      </c>
    </row>
    <row r="268" spans="2:2" ht="18.75" customHeight="1" x14ac:dyDescent="0.25">
      <c r="B268" s="1">
        <v>110</v>
      </c>
    </row>
    <row r="269" spans="2:2" ht="18.75" customHeight="1" x14ac:dyDescent="0.25">
      <c r="B269" s="1">
        <v>3000</v>
      </c>
    </row>
    <row r="315" spans="4:4" ht="18.75" customHeight="1" x14ac:dyDescent="0.25">
      <c r="D315" s="1">
        <v>3</v>
      </c>
    </row>
    <row r="325" spans="2:2" ht="18.75" customHeight="1" x14ac:dyDescent="0.25">
      <c r="B325" s="23" t="s">
        <v>153</v>
      </c>
    </row>
    <row r="329" spans="2:2" ht="18.75" customHeight="1" x14ac:dyDescent="0.25">
      <c r="B329" s="1">
        <v>100</v>
      </c>
    </row>
    <row r="330" spans="2:2" ht="18.75" customHeight="1" x14ac:dyDescent="0.25">
      <c r="B330" s="1">
        <v>110</v>
      </c>
    </row>
    <row r="331" spans="2:2" ht="18.75" customHeight="1" x14ac:dyDescent="0.25">
      <c r="B331" s="1">
        <v>3000</v>
      </c>
    </row>
  </sheetData>
  <mergeCells count="92">
    <mergeCell ref="K166:L166"/>
    <mergeCell ref="G106:H107"/>
    <mergeCell ref="H78:I78"/>
    <mergeCell ref="H79:I79"/>
    <mergeCell ref="N81:O81"/>
    <mergeCell ref="M166:N166"/>
    <mergeCell ref="A111:F111"/>
    <mergeCell ref="H113:I113"/>
    <mergeCell ref="H114:I114"/>
    <mergeCell ref="V119:W119"/>
    <mergeCell ref="O88:P88"/>
    <mergeCell ref="S88:T88"/>
    <mergeCell ref="K92:L92"/>
    <mergeCell ref="M92:N92"/>
    <mergeCell ref="O93:P93"/>
    <mergeCell ref="A76:F76"/>
    <mergeCell ref="H49:I49"/>
    <mergeCell ref="U54:V54"/>
    <mergeCell ref="O58:P58"/>
    <mergeCell ref="S58:T58"/>
    <mergeCell ref="U55:V55"/>
    <mergeCell ref="Q54:R54"/>
    <mergeCell ref="S54:T54"/>
    <mergeCell ref="O63:P63"/>
    <mergeCell ref="K62:L62"/>
    <mergeCell ref="M62:N62"/>
    <mergeCell ref="X119:Y119"/>
    <mergeCell ref="Z116:AA116"/>
    <mergeCell ref="A22:F22"/>
    <mergeCell ref="H29:I29"/>
    <mergeCell ref="H28:I28"/>
    <mergeCell ref="H30:I30"/>
    <mergeCell ref="O26:P26"/>
    <mergeCell ref="H25:I25"/>
    <mergeCell ref="H26:I26"/>
    <mergeCell ref="H27:I27"/>
    <mergeCell ref="N51:O51"/>
    <mergeCell ref="U51:V51"/>
    <mergeCell ref="U52:V52"/>
    <mergeCell ref="U53:V53"/>
    <mergeCell ref="A46:F46"/>
    <mergeCell ref="H48:I48"/>
    <mergeCell ref="A125:A126"/>
    <mergeCell ref="B136:D136"/>
    <mergeCell ref="S159:T159"/>
    <mergeCell ref="U159:V159"/>
    <mergeCell ref="U160:V160"/>
    <mergeCell ref="Q159:R159"/>
    <mergeCell ref="G143:H143"/>
    <mergeCell ref="K129:L129"/>
    <mergeCell ref="O125:P125"/>
    <mergeCell ref="G127:G128"/>
    <mergeCell ref="U156:V156"/>
    <mergeCell ref="U157:V157"/>
    <mergeCell ref="U158:V158"/>
    <mergeCell ref="N153:O153"/>
    <mergeCell ref="U153:V153"/>
    <mergeCell ref="U154:V154"/>
    <mergeCell ref="A185:F185"/>
    <mergeCell ref="H187:I187"/>
    <mergeCell ref="H188:I188"/>
    <mergeCell ref="A148:F148"/>
    <mergeCell ref="H150:I150"/>
    <mergeCell ref="H151:I151"/>
    <mergeCell ref="U191:V191"/>
    <mergeCell ref="U190:V190"/>
    <mergeCell ref="O162:P162"/>
    <mergeCell ref="U192:V192"/>
    <mergeCell ref="G217:H217"/>
    <mergeCell ref="Q196:R196"/>
    <mergeCell ref="S196:T196"/>
    <mergeCell ref="U196:V196"/>
    <mergeCell ref="U197:V197"/>
    <mergeCell ref="O199:P199"/>
    <mergeCell ref="M203:N203"/>
    <mergeCell ref="K203:L203"/>
    <mergeCell ref="U193:V193"/>
    <mergeCell ref="U194:V194"/>
    <mergeCell ref="U195:V195"/>
    <mergeCell ref="G180:H180"/>
    <mergeCell ref="P33:Q33"/>
    <mergeCell ref="Q180:R180"/>
    <mergeCell ref="S180:T180"/>
    <mergeCell ref="U155:V155"/>
    <mergeCell ref="N190:O190"/>
    <mergeCell ref="U81:V81"/>
    <mergeCell ref="U82:V82"/>
    <mergeCell ref="U83:V83"/>
    <mergeCell ref="Q84:R84"/>
    <mergeCell ref="S84:T84"/>
    <mergeCell ref="U84:V84"/>
    <mergeCell ref="U85:V85"/>
  </mergeCells>
  <conditionalFormatting sqref="E153">
    <cfRule type="dataBar" priority="3">
      <dataBar>
        <cfvo type="min"/>
        <cfvo type="max"/>
        <color rgb="FF638EC6"/>
      </dataBar>
    </cfRule>
  </conditionalFormatting>
  <conditionalFormatting sqref="T28:T30">
    <cfRule type="dataBar" priority="2">
      <dataBar>
        <cfvo type="min"/>
        <cfvo type="max"/>
        <color rgb="FFFFB628"/>
      </dataBar>
    </cfRule>
  </conditionalFormatting>
  <conditionalFormatting sqref="E190">
    <cfRule type="dataBar" priority="1">
      <dataBar>
        <cfvo type="min"/>
        <cfvo type="max"/>
        <color rgb="FF638EC6"/>
      </dataBar>
    </cfRule>
  </conditionalFormatting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theme="0"/>
  </sheetPr>
  <dimension ref="C2:CX100"/>
  <sheetViews>
    <sheetView workbookViewId="0">
      <selection activeCell="E11" sqref="E11"/>
    </sheetView>
  </sheetViews>
  <sheetFormatPr defaultColWidth="9.140625" defaultRowHeight="15" x14ac:dyDescent="0.25"/>
  <cols>
    <col min="1" max="2" width="9.140625" style="136"/>
    <col min="3" max="3" width="19.28515625" style="136" customWidth="1"/>
    <col min="4" max="4" width="9.42578125" style="136" customWidth="1"/>
    <col min="5" max="5" width="10.140625" style="136" customWidth="1"/>
    <col min="6" max="6" width="11" style="136" customWidth="1"/>
    <col min="7" max="7" width="10.140625" style="136" customWidth="1"/>
    <col min="8" max="10" width="16.140625" style="136" customWidth="1"/>
    <col min="11" max="12" width="15.5703125" style="136" customWidth="1"/>
    <col min="13" max="16384" width="9.140625" style="136"/>
  </cols>
  <sheetData>
    <row r="2" spans="3:12" ht="15.75" thickBot="1" x14ac:dyDescent="0.3"/>
    <row r="3" spans="3:12" ht="15.75" thickBot="1" x14ac:dyDescent="0.3">
      <c r="C3" s="433" t="s">
        <v>211</v>
      </c>
      <c r="D3" s="434"/>
      <c r="E3" s="23"/>
      <c r="F3" s="23">
        <v>20</v>
      </c>
      <c r="G3" s="331">
        <v>13.375</v>
      </c>
      <c r="H3" s="331">
        <v>11.75</v>
      </c>
      <c r="I3" s="331">
        <v>9.625</v>
      </c>
      <c r="J3" s="23">
        <v>7</v>
      </c>
      <c r="K3" s="23">
        <v>5</v>
      </c>
      <c r="L3" s="23"/>
    </row>
    <row r="4" spans="3:12" ht="15.75" thickBot="1" x14ac:dyDescent="0.3">
      <c r="C4" s="23"/>
      <c r="D4" s="23"/>
      <c r="E4" s="292" t="s">
        <v>229</v>
      </c>
      <c r="F4" s="292" t="s">
        <v>228</v>
      </c>
      <c r="G4" s="292" t="s">
        <v>230</v>
      </c>
      <c r="H4" s="292" t="s">
        <v>230</v>
      </c>
      <c r="I4" s="292" t="s">
        <v>230</v>
      </c>
      <c r="J4" s="292" t="s">
        <v>231</v>
      </c>
      <c r="K4" s="292" t="s">
        <v>231</v>
      </c>
      <c r="L4" s="23"/>
    </row>
    <row r="5" spans="3:12" x14ac:dyDescent="0.25">
      <c r="C5" s="332" t="s">
        <v>210</v>
      </c>
      <c r="D5" s="333" t="s">
        <v>201</v>
      </c>
      <c r="E5" s="334" t="s">
        <v>202</v>
      </c>
      <c r="F5" s="334" t="s">
        <v>203</v>
      </c>
      <c r="G5" s="334" t="s">
        <v>380</v>
      </c>
      <c r="H5" s="334" t="s">
        <v>381</v>
      </c>
      <c r="I5" s="334" t="s">
        <v>382</v>
      </c>
      <c r="J5" s="334" t="s">
        <v>383</v>
      </c>
      <c r="K5" s="334" t="s">
        <v>384</v>
      </c>
      <c r="L5" s="335" t="s">
        <v>94</v>
      </c>
    </row>
    <row r="6" spans="3:12" x14ac:dyDescent="0.25">
      <c r="C6" s="336" t="s">
        <v>205</v>
      </c>
      <c r="D6" s="292" t="s">
        <v>209</v>
      </c>
      <c r="E6" s="292">
        <v>5.5</v>
      </c>
      <c r="F6" s="292">
        <v>5.5</v>
      </c>
      <c r="G6" s="292">
        <v>5.5</v>
      </c>
      <c r="H6" s="292">
        <v>5</v>
      </c>
      <c r="I6" s="292">
        <v>5</v>
      </c>
      <c r="J6" s="292">
        <v>5</v>
      </c>
      <c r="K6" s="292">
        <v>3.5</v>
      </c>
      <c r="L6" s="337"/>
    </row>
    <row r="7" spans="3:12" x14ac:dyDescent="0.25">
      <c r="C7" s="336" t="s">
        <v>206</v>
      </c>
      <c r="D7" s="292" t="s">
        <v>209</v>
      </c>
      <c r="E7" s="292">
        <v>4.7779999999999996</v>
      </c>
      <c r="F7" s="292">
        <v>4.7779999999999996</v>
      </c>
      <c r="G7" s="292">
        <v>4.7779999999999996</v>
      </c>
      <c r="H7" s="292">
        <v>4.2759999999999998</v>
      </c>
      <c r="I7" s="292">
        <v>4.2759999999999998</v>
      </c>
      <c r="J7" s="292">
        <v>4.2759999999999998</v>
      </c>
      <c r="K7" s="292">
        <v>3.0670000000000002</v>
      </c>
      <c r="L7" s="337"/>
    </row>
    <row r="8" spans="3:12" x14ac:dyDescent="0.25">
      <c r="C8" s="336" t="s">
        <v>226</v>
      </c>
      <c r="D8" s="292" t="s">
        <v>209</v>
      </c>
      <c r="E8" s="292">
        <v>5.5</v>
      </c>
      <c r="F8" s="292">
        <v>5.5</v>
      </c>
      <c r="G8" s="292">
        <v>5.5</v>
      </c>
      <c r="H8" s="292">
        <v>5</v>
      </c>
      <c r="I8" s="292">
        <v>5</v>
      </c>
      <c r="J8" s="292">
        <v>5</v>
      </c>
      <c r="K8" s="292">
        <v>3.5</v>
      </c>
      <c r="L8" s="337"/>
    </row>
    <row r="9" spans="3:12" x14ac:dyDescent="0.25">
      <c r="C9" s="336" t="s">
        <v>227</v>
      </c>
      <c r="D9" s="292" t="s">
        <v>209</v>
      </c>
      <c r="E9" s="292">
        <v>3.3130000000000002</v>
      </c>
      <c r="F9" s="292">
        <v>3.3130000000000002</v>
      </c>
      <c r="G9" s="292">
        <v>3.3130000000000002</v>
      </c>
      <c r="H9" s="292">
        <v>3</v>
      </c>
      <c r="I9" s="292">
        <v>3</v>
      </c>
      <c r="J9" s="292">
        <v>3</v>
      </c>
      <c r="K9" s="292">
        <v>2.0630000000000002</v>
      </c>
      <c r="L9" s="337">
        <f>210/0.3028</f>
        <v>693.52708058124176</v>
      </c>
    </row>
    <row r="10" spans="3:12" x14ac:dyDescent="0.25">
      <c r="C10" s="336" t="s">
        <v>207</v>
      </c>
      <c r="D10" s="292" t="s">
        <v>209</v>
      </c>
      <c r="E10" s="292">
        <v>14</v>
      </c>
      <c r="F10" s="292">
        <v>14</v>
      </c>
      <c r="G10" s="292">
        <v>11</v>
      </c>
      <c r="H10" s="292">
        <v>11</v>
      </c>
      <c r="I10" s="292">
        <v>8.75</v>
      </c>
      <c r="J10" s="292">
        <v>6.25</v>
      </c>
      <c r="K10" s="292">
        <v>4.75</v>
      </c>
      <c r="L10" s="337">
        <f>250/0.3028</f>
        <v>825.62747688243064</v>
      </c>
    </row>
    <row r="11" spans="3:12" ht="15.75" thickBot="1" x14ac:dyDescent="0.3">
      <c r="C11" s="338" t="s">
        <v>208</v>
      </c>
      <c r="D11" s="339" t="s">
        <v>209</v>
      </c>
      <c r="E11" s="339">
        <v>3</v>
      </c>
      <c r="F11" s="339">
        <v>3</v>
      </c>
      <c r="G11" s="339">
        <v>3</v>
      </c>
      <c r="H11" s="339">
        <v>3</v>
      </c>
      <c r="I11" s="339">
        <v>2</v>
      </c>
      <c r="J11" s="339">
        <v>2.875</v>
      </c>
      <c r="K11" s="339">
        <v>2</v>
      </c>
      <c r="L11" s="340"/>
    </row>
    <row r="12" spans="3:12" ht="15.75" thickBot="1" x14ac:dyDescent="0.3">
      <c r="C12" s="23"/>
      <c r="D12" s="23"/>
      <c r="E12" s="23"/>
      <c r="F12" s="23"/>
      <c r="G12" s="23"/>
      <c r="H12" s="23"/>
      <c r="I12" s="23"/>
      <c r="J12" s="23"/>
      <c r="K12" s="23"/>
      <c r="L12" s="23"/>
    </row>
    <row r="13" spans="3:12" ht="15.75" thickBot="1" x14ac:dyDescent="0.3">
      <c r="C13" s="433" t="s">
        <v>212</v>
      </c>
      <c r="D13" s="434"/>
      <c r="E13" s="23"/>
      <c r="F13" s="23"/>
      <c r="G13" s="23"/>
      <c r="H13" s="23"/>
      <c r="I13" s="23"/>
      <c r="J13" s="23"/>
      <c r="K13" s="23"/>
      <c r="L13" s="23"/>
    </row>
    <row r="14" spans="3:12" ht="15.75" thickBot="1" x14ac:dyDescent="0.3">
      <c r="C14" s="23"/>
      <c r="D14" s="23"/>
      <c r="E14" s="23"/>
      <c r="F14" s="23"/>
      <c r="G14" s="23"/>
      <c r="H14" s="23"/>
      <c r="I14" s="23"/>
      <c r="J14" s="23"/>
      <c r="K14" s="23"/>
      <c r="L14" s="23"/>
    </row>
    <row r="15" spans="3:12" x14ac:dyDescent="0.25">
      <c r="C15" s="435" t="s">
        <v>204</v>
      </c>
      <c r="D15" s="436"/>
      <c r="E15" s="333" t="s">
        <v>201</v>
      </c>
      <c r="F15" s="436" t="s">
        <v>218</v>
      </c>
      <c r="G15" s="436"/>
      <c r="H15" s="333" t="s">
        <v>219</v>
      </c>
      <c r="I15" s="333" t="s">
        <v>220</v>
      </c>
      <c r="J15" s="333" t="s">
        <v>221</v>
      </c>
      <c r="K15" s="333" t="s">
        <v>222</v>
      </c>
      <c r="L15" s="335" t="s">
        <v>223</v>
      </c>
    </row>
    <row r="16" spans="3:12" x14ac:dyDescent="0.25">
      <c r="C16" s="437" t="s">
        <v>216</v>
      </c>
      <c r="D16" s="438"/>
      <c r="E16" s="292" t="s">
        <v>224</v>
      </c>
      <c r="F16" s="429">
        <v>350</v>
      </c>
      <c r="G16" s="429"/>
      <c r="H16" s="292">
        <v>350</v>
      </c>
      <c r="I16" s="292">
        <v>250</v>
      </c>
      <c r="J16" s="292">
        <v>500</v>
      </c>
      <c r="K16" s="292">
        <v>300</v>
      </c>
      <c r="L16" s="337">
        <v>3</v>
      </c>
    </row>
    <row r="17" spans="3:12" x14ac:dyDescent="0.25">
      <c r="C17" s="437" t="s">
        <v>215</v>
      </c>
      <c r="D17" s="438"/>
      <c r="E17" s="292" t="s">
        <v>209</v>
      </c>
      <c r="F17" s="429">
        <v>7</v>
      </c>
      <c r="G17" s="429"/>
      <c r="H17" s="292">
        <v>6</v>
      </c>
      <c r="I17" s="292">
        <v>5</v>
      </c>
      <c r="J17" s="292">
        <v>5</v>
      </c>
      <c r="K17" s="292">
        <v>5</v>
      </c>
      <c r="L17" s="341" t="s">
        <v>225</v>
      </c>
    </row>
    <row r="18" spans="3:12" x14ac:dyDescent="0.25">
      <c r="C18" s="437" t="s">
        <v>213</v>
      </c>
      <c r="D18" s="438"/>
      <c r="E18" s="292" t="s">
        <v>209</v>
      </c>
      <c r="F18" s="429">
        <v>1</v>
      </c>
      <c r="G18" s="429"/>
      <c r="H18" s="292">
        <v>9</v>
      </c>
      <c r="I18" s="292">
        <v>3</v>
      </c>
      <c r="J18" s="292">
        <v>3</v>
      </c>
      <c r="K18" s="292">
        <v>3</v>
      </c>
      <c r="L18" s="341" t="str">
        <f>L17</f>
        <v>---</v>
      </c>
    </row>
    <row r="19" spans="3:12" x14ac:dyDescent="0.25">
      <c r="C19" s="437" t="s">
        <v>214</v>
      </c>
      <c r="D19" s="438"/>
      <c r="E19" s="292" t="s">
        <v>209</v>
      </c>
      <c r="F19" s="429">
        <v>90</v>
      </c>
      <c r="G19" s="429"/>
      <c r="H19" s="292">
        <v>90</v>
      </c>
      <c r="I19" s="292">
        <v>90</v>
      </c>
      <c r="J19" s="292">
        <v>90</v>
      </c>
      <c r="K19" s="292">
        <v>90</v>
      </c>
      <c r="L19" s="341" t="str">
        <f>L18</f>
        <v>---</v>
      </c>
    </row>
    <row r="20" spans="3:12" ht="15.75" thickBot="1" x14ac:dyDescent="0.3">
      <c r="C20" s="439" t="s">
        <v>217</v>
      </c>
      <c r="D20" s="440"/>
      <c r="E20" s="339" t="s">
        <v>224</v>
      </c>
      <c r="F20" s="441">
        <v>4</v>
      </c>
      <c r="G20" s="441"/>
      <c r="H20" s="339">
        <v>4</v>
      </c>
      <c r="I20" s="339">
        <v>3</v>
      </c>
      <c r="J20" s="339">
        <v>2.5</v>
      </c>
      <c r="K20" s="339">
        <v>2.5</v>
      </c>
      <c r="L20" s="341" t="str">
        <f>L19</f>
        <v>---</v>
      </c>
    </row>
    <row r="100" spans="100:102" x14ac:dyDescent="0.25">
      <c r="CV100" s="136">
        <v>1</v>
      </c>
      <c r="CW100" s="136">
        <v>1</v>
      </c>
      <c r="CX100" s="136">
        <v>1</v>
      </c>
    </row>
  </sheetData>
  <mergeCells count="14">
    <mergeCell ref="C17:D17"/>
    <mergeCell ref="C18:D18"/>
    <mergeCell ref="C19:D19"/>
    <mergeCell ref="C20:D20"/>
    <mergeCell ref="F20:G20"/>
    <mergeCell ref="F19:G19"/>
    <mergeCell ref="F18:G18"/>
    <mergeCell ref="F17:G17"/>
    <mergeCell ref="F16:G16"/>
    <mergeCell ref="C3:D3"/>
    <mergeCell ref="C13:D13"/>
    <mergeCell ref="C15:D15"/>
    <mergeCell ref="C16:D16"/>
    <mergeCell ref="F15:G15"/>
  </mergeCells>
  <dataValidations count="1">
    <dataValidation type="list" allowBlank="1" showInputMessage="1" showErrorMessage="1" sqref="L16" xr:uid="{00000000-0002-0000-0400-000000000000}">
      <formula1>"1,2,3"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1"/>
  </sheetPr>
  <dimension ref="A1:CX392"/>
  <sheetViews>
    <sheetView tabSelected="1" topLeftCell="A4" zoomScale="80" zoomScaleNormal="80" workbookViewId="0">
      <selection activeCell="J5" sqref="J5"/>
    </sheetView>
  </sheetViews>
  <sheetFormatPr defaultRowHeight="11.25" outlineLevelRow="1" x14ac:dyDescent="0.2"/>
  <cols>
    <col min="1" max="1" width="22.5703125" style="390" customWidth="1"/>
    <col min="2" max="2" width="24.28515625" style="390" customWidth="1"/>
    <col min="3" max="3" width="16.5703125" style="390" customWidth="1"/>
    <col min="4" max="4" width="15.85546875" style="390" customWidth="1"/>
    <col min="5" max="5" width="16" style="390" customWidth="1"/>
    <col min="6" max="6" width="19.85546875" style="390" customWidth="1"/>
    <col min="7" max="7" width="8.85546875" style="390" customWidth="1"/>
    <col min="8" max="8" width="13.85546875" style="390" customWidth="1"/>
    <col min="9" max="9" width="9.140625" style="390"/>
    <col min="10" max="10" width="28.140625" style="390" customWidth="1"/>
    <col min="11" max="11" width="13" style="390" customWidth="1"/>
    <col min="12" max="12" width="12.28515625" style="390" customWidth="1"/>
    <col min="13" max="16384" width="9.140625" style="390"/>
  </cols>
  <sheetData>
    <row r="1" spans="1:55" x14ac:dyDescent="0.2">
      <c r="A1" s="444" t="s">
        <v>200</v>
      </c>
      <c r="B1" s="444"/>
      <c r="C1" s="444"/>
      <c r="D1" s="444"/>
      <c r="E1" s="444"/>
      <c r="F1" s="444"/>
    </row>
    <row r="2" spans="1:55" ht="23.25" customHeight="1" x14ac:dyDescent="0.2">
      <c r="A2" s="444"/>
      <c r="B2" s="444"/>
      <c r="C2" s="444"/>
      <c r="D2" s="444"/>
      <c r="E2" s="444"/>
      <c r="F2" s="444"/>
    </row>
    <row r="3" spans="1:55" outlineLevel="1" x14ac:dyDescent="0.2"/>
    <row r="4" spans="1:55" outlineLevel="1" x14ac:dyDescent="0.2">
      <c r="A4" s="400" t="s">
        <v>134</v>
      </c>
      <c r="B4" s="391" t="s">
        <v>135</v>
      </c>
      <c r="C4" s="391" t="s">
        <v>136</v>
      </c>
      <c r="D4" s="391" t="s">
        <v>137</v>
      </c>
      <c r="E4" s="391" t="s">
        <v>138</v>
      </c>
      <c r="F4" s="391" t="s">
        <v>139</v>
      </c>
      <c r="N4" s="382" t="s">
        <v>420</v>
      </c>
      <c r="O4" s="382"/>
      <c r="P4" s="382">
        <v>0</v>
      </c>
      <c r="Q4" s="393">
        <v>0.21875</v>
      </c>
      <c r="R4" s="394">
        <f>Q4+1/32</f>
        <v>0.25</v>
      </c>
      <c r="S4" s="394">
        <f t="shared" ref="S4:Z4" si="0">R4+1/32</f>
        <v>0.28125</v>
      </c>
      <c r="T4" s="394">
        <f t="shared" si="0"/>
        <v>0.3125</v>
      </c>
      <c r="U4" s="394">
        <f t="shared" si="0"/>
        <v>0.34375</v>
      </c>
      <c r="V4" s="394">
        <f t="shared" si="0"/>
        <v>0.375</v>
      </c>
      <c r="W4" s="394">
        <f t="shared" si="0"/>
        <v>0.40625</v>
      </c>
      <c r="X4" s="394">
        <f t="shared" si="0"/>
        <v>0.4375</v>
      </c>
      <c r="Y4" s="394">
        <f t="shared" si="0"/>
        <v>0.46875</v>
      </c>
      <c r="Z4" s="394">
        <f t="shared" si="0"/>
        <v>0.5</v>
      </c>
      <c r="AA4" s="394">
        <v>0.5625</v>
      </c>
      <c r="AB4" s="394">
        <v>0.625</v>
      </c>
      <c r="AC4" s="394">
        <v>0.6875</v>
      </c>
      <c r="AD4" s="394">
        <v>0.75</v>
      </c>
      <c r="AE4" s="394">
        <v>0.8125</v>
      </c>
    </row>
    <row r="5" spans="1:55" ht="15" customHeight="1" outlineLevel="1" x14ac:dyDescent="0.25">
      <c r="A5" s="401" t="s">
        <v>140</v>
      </c>
      <c r="B5" s="382">
        <v>5.5</v>
      </c>
      <c r="C5" s="382">
        <v>4.7779999999999996</v>
      </c>
      <c r="D5" s="390">
        <v>3</v>
      </c>
      <c r="E5" s="390">
        <v>130</v>
      </c>
      <c r="J5" s="404" t="s">
        <v>448</v>
      </c>
      <c r="N5" s="395" t="s">
        <v>422</v>
      </c>
      <c r="O5" s="446" t="s">
        <v>421</v>
      </c>
      <c r="P5" s="447">
        <v>0</v>
      </c>
      <c r="Q5" s="447">
        <v>2</v>
      </c>
      <c r="R5" s="447">
        <v>2</v>
      </c>
      <c r="S5" s="447">
        <v>2</v>
      </c>
      <c r="T5" s="447">
        <v>2</v>
      </c>
      <c r="U5" s="447">
        <v>2</v>
      </c>
      <c r="V5" s="447">
        <v>2</v>
      </c>
      <c r="W5" s="447">
        <v>2</v>
      </c>
      <c r="X5" s="447">
        <v>2</v>
      </c>
      <c r="Y5" s="447">
        <v>2</v>
      </c>
      <c r="Z5" s="447">
        <v>2</v>
      </c>
      <c r="AA5" s="447">
        <v>2</v>
      </c>
      <c r="AB5" s="447">
        <v>2</v>
      </c>
      <c r="AC5" s="447">
        <v>2</v>
      </c>
      <c r="AD5" s="447">
        <v>2</v>
      </c>
      <c r="AE5" s="447">
        <v>2</v>
      </c>
    </row>
    <row r="6" spans="1:55" ht="15" customHeight="1" outlineLevel="1" x14ac:dyDescent="0.2">
      <c r="A6" s="400" t="s">
        <v>141</v>
      </c>
      <c r="B6" s="382"/>
      <c r="C6" s="382"/>
      <c r="D6" s="390" t="s">
        <v>142</v>
      </c>
      <c r="N6" s="395"/>
      <c r="O6" s="446"/>
      <c r="P6" s="447"/>
      <c r="Q6" s="447"/>
      <c r="R6" s="447"/>
      <c r="S6" s="447"/>
      <c r="T6" s="447"/>
      <c r="U6" s="447"/>
      <c r="V6" s="447"/>
      <c r="W6" s="447"/>
      <c r="X6" s="447"/>
      <c r="Y6" s="447"/>
      <c r="Z6" s="447"/>
      <c r="AA6" s="447"/>
      <c r="AB6" s="447"/>
      <c r="AC6" s="447"/>
      <c r="AD6" s="447"/>
      <c r="AE6" s="447"/>
    </row>
    <row r="7" spans="1:55" outlineLevel="1" x14ac:dyDescent="0.2">
      <c r="A7" s="401" t="s">
        <v>143</v>
      </c>
      <c r="B7" s="403">
        <v>14</v>
      </c>
      <c r="C7" s="403">
        <v>3</v>
      </c>
      <c r="E7" s="390">
        <f>'Systems Data'!L10</f>
        <v>825.62747688243064</v>
      </c>
      <c r="N7" s="395"/>
      <c r="O7" s="382"/>
      <c r="P7" s="382"/>
      <c r="Q7" s="382"/>
      <c r="R7" s="382"/>
      <c r="S7" s="382"/>
      <c r="T7" s="382"/>
      <c r="U7" s="382"/>
      <c r="V7" s="382"/>
      <c r="W7" s="382"/>
      <c r="X7" s="382"/>
      <c r="Y7" s="382"/>
      <c r="Z7" s="382"/>
      <c r="AA7" s="382"/>
      <c r="AB7" s="382"/>
      <c r="AC7" s="382"/>
      <c r="AD7" s="382"/>
      <c r="AE7" s="382"/>
    </row>
    <row r="8" spans="1:55" outlineLevel="1" x14ac:dyDescent="0.2">
      <c r="A8" s="400" t="s">
        <v>144</v>
      </c>
      <c r="B8" s="403">
        <v>20</v>
      </c>
      <c r="C8" s="403">
        <v>3</v>
      </c>
      <c r="E8" s="390">
        <f>E5</f>
        <v>130</v>
      </c>
      <c r="N8" s="396">
        <v>0</v>
      </c>
      <c r="O8" s="397">
        <v>0</v>
      </c>
      <c r="P8" s="397">
        <v>0</v>
      </c>
      <c r="Q8" s="381">
        <v>7.5200000000000003E-2</v>
      </c>
      <c r="R8" s="381">
        <v>9.8199999999999996E-2</v>
      </c>
      <c r="S8" s="381">
        <v>0.1242</v>
      </c>
      <c r="T8" s="381">
        <v>0.15340000000000001</v>
      </c>
      <c r="U8" s="381">
        <v>0.18559999999999999</v>
      </c>
      <c r="V8" s="381">
        <v>0.22090000000000001</v>
      </c>
      <c r="W8" s="381">
        <v>0.25919999999999999</v>
      </c>
      <c r="X8" s="381">
        <v>0.30070000000000002</v>
      </c>
      <c r="Y8" s="381">
        <v>0.34510000000000002</v>
      </c>
      <c r="Z8" s="381">
        <v>0.39269999999999999</v>
      </c>
      <c r="AA8" s="381">
        <v>0.497</v>
      </c>
      <c r="AB8" s="381">
        <v>0.61360000000000003</v>
      </c>
      <c r="AC8" s="381">
        <v>0.74239999999999995</v>
      </c>
      <c r="AD8" s="381">
        <v>0.88360000000000005</v>
      </c>
      <c r="AE8" s="381">
        <v>1.0369999999999999</v>
      </c>
    </row>
    <row r="9" spans="1:55" outlineLevel="1" x14ac:dyDescent="0.2">
      <c r="A9" s="400" t="s">
        <v>145</v>
      </c>
      <c r="B9" s="382"/>
      <c r="C9" s="382"/>
      <c r="N9" s="394">
        <v>0.21875</v>
      </c>
      <c r="O9" s="397">
        <v>1</v>
      </c>
      <c r="P9" s="381">
        <v>3.7600000000000001E-2</v>
      </c>
      <c r="Q9" s="381">
        <v>0.1129</v>
      </c>
      <c r="R9" s="381">
        <v>0.1358</v>
      </c>
      <c r="S9" s="381"/>
      <c r="T9" s="381"/>
      <c r="U9" s="381"/>
      <c r="V9" s="381"/>
      <c r="W9" s="381"/>
      <c r="X9" s="381"/>
      <c r="Y9" s="381"/>
      <c r="Z9" s="381"/>
      <c r="AA9" s="381"/>
      <c r="AB9" s="381"/>
      <c r="AC9" s="381"/>
      <c r="AD9" s="381"/>
      <c r="AE9" s="381"/>
    </row>
    <row r="10" spans="1:55" outlineLevel="1" x14ac:dyDescent="0.2">
      <c r="A10" s="400" t="s">
        <v>146</v>
      </c>
      <c r="B10" s="385"/>
      <c r="C10" s="385"/>
      <c r="N10" s="394">
        <v>0.25</v>
      </c>
      <c r="O10" s="397">
        <v>1</v>
      </c>
      <c r="P10" s="381">
        <v>4.9099999999999998E-2</v>
      </c>
      <c r="Q10" s="381">
        <v>0.12429999999999999</v>
      </c>
      <c r="R10" s="381">
        <v>0.14729999999999999</v>
      </c>
      <c r="S10" s="381">
        <v>0.17330000000000001</v>
      </c>
      <c r="T10" s="381"/>
      <c r="U10" s="381"/>
      <c r="V10" s="381"/>
      <c r="W10" s="381"/>
      <c r="X10" s="381"/>
      <c r="Y10" s="381"/>
      <c r="Z10" s="381"/>
      <c r="AA10" s="381"/>
      <c r="AB10" s="381"/>
      <c r="AC10" s="381"/>
      <c r="AD10" s="381"/>
      <c r="AE10" s="381"/>
    </row>
    <row r="11" spans="1:55" outlineLevel="1" x14ac:dyDescent="0.2">
      <c r="A11" s="400" t="s">
        <v>147</v>
      </c>
      <c r="B11" s="385"/>
      <c r="C11" s="385"/>
      <c r="N11" s="394">
        <v>0.28125</v>
      </c>
      <c r="O11" s="397">
        <v>1</v>
      </c>
      <c r="P11" s="381">
        <v>6.2100000000000002E-2</v>
      </c>
      <c r="Q11" s="381"/>
      <c r="R11" s="381">
        <v>0.1603</v>
      </c>
      <c r="S11" s="381">
        <v>0.18640000000000001</v>
      </c>
      <c r="T11" s="381">
        <v>0.2155</v>
      </c>
      <c r="U11" s="381"/>
      <c r="V11" s="381"/>
      <c r="W11" s="381"/>
      <c r="X11" s="381"/>
      <c r="Y11" s="381"/>
      <c r="Z11" s="381"/>
      <c r="AA11" s="381"/>
      <c r="AB11" s="381"/>
      <c r="AC11" s="381"/>
      <c r="AD11" s="381"/>
      <c r="AE11" s="381"/>
    </row>
    <row r="12" spans="1:55" outlineLevel="1" x14ac:dyDescent="0.2">
      <c r="A12" s="400" t="s">
        <v>148</v>
      </c>
      <c r="B12" s="385"/>
      <c r="C12" s="385"/>
      <c r="J12" s="390" t="s">
        <v>149</v>
      </c>
      <c r="N12" s="394">
        <v>0.3125</v>
      </c>
      <c r="O12" s="397">
        <v>1</v>
      </c>
      <c r="P12" s="381">
        <v>7.6700000000000004E-2</v>
      </c>
      <c r="Q12" s="381"/>
      <c r="R12" s="381"/>
      <c r="S12" s="381">
        <v>0.20100000000000001</v>
      </c>
      <c r="T12" s="381">
        <v>0.23100000000000001</v>
      </c>
      <c r="U12" s="381">
        <v>0.26229999999999998</v>
      </c>
      <c r="V12" s="381"/>
      <c r="W12" s="381"/>
      <c r="X12" s="381"/>
      <c r="Y12" s="381"/>
      <c r="Z12" s="381"/>
      <c r="AA12" s="381"/>
      <c r="AB12" s="381"/>
      <c r="AC12" s="381"/>
      <c r="AD12" s="381"/>
      <c r="AE12" s="381"/>
    </row>
    <row r="13" spans="1:55" outlineLevel="1" x14ac:dyDescent="0.2">
      <c r="A13" s="400" t="s">
        <v>149</v>
      </c>
      <c r="J13" s="390" t="s">
        <v>150</v>
      </c>
      <c r="K13" s="390" t="s">
        <v>151</v>
      </c>
      <c r="N13" s="394">
        <v>0.34375</v>
      </c>
      <c r="O13" s="397">
        <v>1</v>
      </c>
      <c r="P13" s="381">
        <v>9.2799999999999994E-2</v>
      </c>
      <c r="Q13" s="381"/>
      <c r="R13" s="381"/>
      <c r="S13" s="381"/>
      <c r="T13" s="381">
        <v>0.2462</v>
      </c>
      <c r="U13" s="381">
        <v>0.27839999999999998</v>
      </c>
      <c r="V13" s="381">
        <v>0.31369999999999998</v>
      </c>
      <c r="W13" s="381"/>
      <c r="X13" s="381"/>
      <c r="Y13" s="381"/>
      <c r="Z13" s="381"/>
      <c r="AA13" s="381"/>
      <c r="AB13" s="381"/>
      <c r="AC13" s="381"/>
      <c r="AD13" s="381"/>
      <c r="AE13" s="381"/>
      <c r="AM13" s="444" t="s">
        <v>429</v>
      </c>
      <c r="AN13" s="444"/>
      <c r="AO13" s="444"/>
      <c r="AP13" s="444"/>
      <c r="AQ13" s="444"/>
      <c r="AR13" s="444"/>
      <c r="AS13" s="444"/>
      <c r="AT13" s="444"/>
      <c r="AU13" s="444"/>
      <c r="AV13" s="444"/>
      <c r="AW13" s="444"/>
      <c r="AX13" s="444"/>
      <c r="AY13" s="444"/>
      <c r="AZ13" s="444"/>
      <c r="BA13" s="444"/>
      <c r="BB13" s="444"/>
      <c r="BC13" s="444"/>
    </row>
    <row r="14" spans="1:55" outlineLevel="1" x14ac:dyDescent="0.2">
      <c r="A14" s="400" t="s">
        <v>150</v>
      </c>
      <c r="B14" s="390" t="s">
        <v>151</v>
      </c>
      <c r="C14" s="390" t="s">
        <v>233</v>
      </c>
      <c r="J14" s="390" t="s">
        <v>152</v>
      </c>
      <c r="K14" s="390" t="s">
        <v>153</v>
      </c>
      <c r="N14" s="394">
        <v>0.375</v>
      </c>
      <c r="O14" s="397">
        <v>1</v>
      </c>
      <c r="P14" s="381">
        <v>0.1104</v>
      </c>
      <c r="Q14" s="381"/>
      <c r="R14" s="381"/>
      <c r="S14" s="381"/>
      <c r="T14" s="381"/>
      <c r="U14" s="381">
        <v>0.29609999999999997</v>
      </c>
      <c r="V14" s="381">
        <v>0.33129999999999998</v>
      </c>
      <c r="W14" s="381">
        <v>0.36969999999999997</v>
      </c>
      <c r="X14" s="381"/>
      <c r="Y14" s="381"/>
      <c r="Z14" s="381"/>
      <c r="AA14" s="381"/>
      <c r="AB14" s="381"/>
      <c r="AC14" s="381"/>
      <c r="AD14" s="381"/>
      <c r="AE14" s="381"/>
      <c r="AM14" s="390" t="s">
        <v>428</v>
      </c>
      <c r="AN14" s="390" t="s">
        <v>427</v>
      </c>
      <c r="AO14" s="390" t="s">
        <v>426</v>
      </c>
      <c r="AP14" s="390" t="s">
        <v>425</v>
      </c>
      <c r="AQ14" s="390">
        <v>4.25</v>
      </c>
      <c r="AR14" s="390">
        <v>4.5</v>
      </c>
      <c r="AS14" s="390">
        <v>4.75</v>
      </c>
      <c r="AT14" s="390">
        <v>5</v>
      </c>
      <c r="AU14" s="390">
        <v>5.25</v>
      </c>
      <c r="AV14" s="390">
        <v>5.5</v>
      </c>
      <c r="AW14" s="390">
        <v>5.75</v>
      </c>
      <c r="AX14" s="390">
        <v>6</v>
      </c>
      <c r="AY14" s="390">
        <v>6.25</v>
      </c>
      <c r="AZ14" s="390">
        <v>6.5</v>
      </c>
      <c r="BA14" s="390">
        <v>6.75</v>
      </c>
      <c r="BB14" s="390">
        <v>7</v>
      </c>
      <c r="BC14" s="390">
        <v>7.25</v>
      </c>
    </row>
    <row r="15" spans="1:55" outlineLevel="1" x14ac:dyDescent="0.2">
      <c r="A15" s="400" t="s">
        <v>152</v>
      </c>
      <c r="B15" s="405" t="s">
        <v>153</v>
      </c>
      <c r="C15" s="390">
        <v>2</v>
      </c>
      <c r="J15" s="390" t="s">
        <v>154</v>
      </c>
      <c r="K15" s="390">
        <v>12</v>
      </c>
      <c r="N15" s="394">
        <v>0.40625</v>
      </c>
      <c r="O15" s="397">
        <v>1</v>
      </c>
      <c r="P15" s="381">
        <v>0.12959999999999999</v>
      </c>
      <c r="Q15" s="381"/>
      <c r="R15" s="381"/>
      <c r="S15" s="381"/>
      <c r="T15" s="381"/>
      <c r="U15" s="381"/>
      <c r="V15" s="381">
        <v>0.35049999999999998</v>
      </c>
      <c r="W15" s="381">
        <v>0.38890000000000002</v>
      </c>
      <c r="X15" s="381">
        <v>0.43030000000000002</v>
      </c>
      <c r="Y15" s="381"/>
      <c r="Z15" s="381"/>
      <c r="AA15" s="381"/>
      <c r="AB15" s="381"/>
      <c r="AC15" s="381"/>
      <c r="AD15" s="381"/>
      <c r="AE15" s="381"/>
      <c r="AM15" s="444" t="s">
        <v>432</v>
      </c>
      <c r="AN15" s="444">
        <v>800</v>
      </c>
      <c r="AO15" s="444">
        <v>160</v>
      </c>
      <c r="AP15" s="444">
        <v>8.5</v>
      </c>
    </row>
    <row r="16" spans="1:55" outlineLevel="1" x14ac:dyDescent="0.2">
      <c r="A16" s="400" t="s">
        <v>154</v>
      </c>
      <c r="B16" s="390">
        <v>12</v>
      </c>
      <c r="J16" s="390" t="s">
        <v>155</v>
      </c>
      <c r="K16" s="390">
        <v>120</v>
      </c>
      <c r="N16" s="394">
        <v>0.4375</v>
      </c>
      <c r="O16" s="397">
        <v>1</v>
      </c>
      <c r="P16" s="381">
        <v>0.15029999999999999</v>
      </c>
      <c r="Q16" s="381"/>
      <c r="R16" s="381"/>
      <c r="S16" s="381"/>
      <c r="T16" s="381"/>
      <c r="U16" s="381"/>
      <c r="V16" s="381"/>
      <c r="W16" s="381">
        <v>0.40960000000000002</v>
      </c>
      <c r="X16" s="381">
        <v>0.45100000000000001</v>
      </c>
      <c r="Y16" s="381">
        <v>0.4955</v>
      </c>
      <c r="Z16" s="381"/>
      <c r="AA16" s="381"/>
      <c r="AB16" s="381"/>
      <c r="AC16" s="381"/>
      <c r="AD16" s="381"/>
      <c r="AE16" s="381"/>
      <c r="AM16" s="444"/>
      <c r="AN16" s="444"/>
      <c r="AO16" s="444"/>
      <c r="AP16" s="444"/>
    </row>
    <row r="17" spans="1:55" outlineLevel="1" x14ac:dyDescent="0.2">
      <c r="A17" s="400" t="s">
        <v>155</v>
      </c>
      <c r="B17" s="390">
        <v>120</v>
      </c>
      <c r="J17" s="390" t="s">
        <v>156</v>
      </c>
      <c r="K17" s="387">
        <v>0.85</v>
      </c>
      <c r="N17" s="394">
        <v>0.46875</v>
      </c>
      <c r="O17" s="397">
        <v>1</v>
      </c>
      <c r="P17" s="381">
        <v>0.1726</v>
      </c>
      <c r="Q17" s="381"/>
      <c r="R17" s="381"/>
      <c r="S17" s="381"/>
      <c r="T17" s="381"/>
      <c r="U17" s="381"/>
      <c r="V17" s="381"/>
      <c r="W17" s="381"/>
      <c r="X17" s="381">
        <v>0.47320000000000001</v>
      </c>
      <c r="Y17" s="381">
        <v>0.51770000000000005</v>
      </c>
      <c r="Z17" s="381">
        <v>0.56530000000000002</v>
      </c>
      <c r="AA17" s="381"/>
      <c r="AB17" s="381"/>
      <c r="AC17" s="381"/>
      <c r="AD17" s="381"/>
      <c r="AE17" s="381"/>
      <c r="AM17" s="444" t="s">
        <v>431</v>
      </c>
      <c r="AN17" s="444">
        <v>1000</v>
      </c>
      <c r="AO17" s="444">
        <v>150</v>
      </c>
      <c r="AP17" s="444">
        <v>9.25</v>
      </c>
    </row>
    <row r="18" spans="1:55" outlineLevel="1" x14ac:dyDescent="0.2">
      <c r="A18" s="400" t="s">
        <v>156</v>
      </c>
      <c r="B18" s="387">
        <v>0.85</v>
      </c>
      <c r="C18" s="387"/>
      <c r="D18" s="387"/>
      <c r="J18" s="390" t="s">
        <v>157</v>
      </c>
      <c r="K18" s="387">
        <v>1</v>
      </c>
      <c r="N18" s="394">
        <v>0.5</v>
      </c>
      <c r="O18" s="397">
        <v>1</v>
      </c>
      <c r="P18" s="381">
        <v>0.1963</v>
      </c>
      <c r="Q18" s="381"/>
      <c r="R18" s="381">
        <v>0.1129</v>
      </c>
      <c r="W18" s="381"/>
      <c r="X18" s="381"/>
      <c r="Y18" s="381">
        <v>0.54139999999999999</v>
      </c>
      <c r="Z18" s="381">
        <v>0.58899999999999997</v>
      </c>
      <c r="AA18" s="381">
        <v>0.69340000000000002</v>
      </c>
      <c r="AB18" s="381"/>
      <c r="AC18" s="381"/>
      <c r="AD18" s="381"/>
      <c r="AE18" s="381"/>
      <c r="AM18" s="444"/>
      <c r="AN18" s="444"/>
      <c r="AO18" s="444"/>
      <c r="AP18" s="444"/>
    </row>
    <row r="19" spans="1:55" outlineLevel="1" x14ac:dyDescent="0.2">
      <c r="A19" s="400" t="s">
        <v>157</v>
      </c>
      <c r="B19" s="387">
        <v>1</v>
      </c>
      <c r="C19" s="387"/>
      <c r="D19" s="387"/>
      <c r="J19" s="390" t="s">
        <v>158</v>
      </c>
      <c r="K19" s="390">
        <v>110</v>
      </c>
      <c r="N19" s="394">
        <v>0.5625</v>
      </c>
      <c r="O19" s="397">
        <v>1</v>
      </c>
      <c r="P19" s="381">
        <v>0.2485</v>
      </c>
      <c r="Q19" s="381"/>
      <c r="R19" s="381">
        <v>0.12429999999999999</v>
      </c>
      <c r="W19" s="381"/>
      <c r="X19" s="381"/>
      <c r="Y19" s="381"/>
      <c r="Z19" s="381">
        <v>0.64119999999999999</v>
      </c>
      <c r="AA19" s="381">
        <v>0.74550000000000005</v>
      </c>
      <c r="AB19" s="381">
        <v>0.86209999999999998</v>
      </c>
      <c r="AC19" s="381"/>
      <c r="AD19" s="381"/>
      <c r="AE19" s="381"/>
      <c r="AM19" s="444" t="s">
        <v>430</v>
      </c>
      <c r="AN19" s="444">
        <v>1300</v>
      </c>
      <c r="AO19" s="444">
        <v>140</v>
      </c>
      <c r="AP19" s="444">
        <v>10</v>
      </c>
    </row>
    <row r="20" spans="1:55" outlineLevel="1" x14ac:dyDescent="0.2">
      <c r="A20" s="400" t="s">
        <v>158</v>
      </c>
      <c r="B20" s="390">
        <v>110</v>
      </c>
      <c r="J20" s="398" t="s">
        <v>159</v>
      </c>
      <c r="K20" s="390">
        <v>3000</v>
      </c>
      <c r="N20" s="394">
        <v>0.625</v>
      </c>
      <c r="O20" s="397">
        <v>1</v>
      </c>
      <c r="P20" s="381">
        <v>0.30680000000000002</v>
      </c>
      <c r="Q20" s="381"/>
      <c r="R20" s="381">
        <v>0.1358</v>
      </c>
      <c r="W20" s="381"/>
      <c r="X20" s="381"/>
      <c r="Y20" s="381"/>
      <c r="Z20" s="381"/>
      <c r="AA20" s="381">
        <v>0.80379999999999996</v>
      </c>
      <c r="AB20" s="381">
        <v>0.9204</v>
      </c>
      <c r="AC20" s="381">
        <v>1.0491999999999999</v>
      </c>
      <c r="AD20" s="381"/>
      <c r="AE20" s="381"/>
      <c r="AM20" s="444"/>
      <c r="AN20" s="444"/>
      <c r="AO20" s="444"/>
      <c r="AP20" s="444"/>
    </row>
    <row r="21" spans="1:55" outlineLevel="1" x14ac:dyDescent="0.2">
      <c r="A21" s="402" t="s">
        <v>159</v>
      </c>
      <c r="B21" s="390">
        <v>3000</v>
      </c>
      <c r="J21" s="398" t="s">
        <v>160</v>
      </c>
      <c r="K21" s="390" t="s">
        <v>232</v>
      </c>
      <c r="N21" s="394">
        <v>0.6875</v>
      </c>
      <c r="O21" s="397">
        <v>1</v>
      </c>
      <c r="P21" s="381">
        <v>0.37119999999999997</v>
      </c>
      <c r="Q21" s="381"/>
      <c r="R21" s="381">
        <v>0.14729999999999999</v>
      </c>
      <c r="W21" s="381"/>
      <c r="X21" s="381"/>
      <c r="Y21" s="381"/>
      <c r="Z21" s="381"/>
      <c r="AA21" s="381"/>
      <c r="AB21" s="381">
        <v>0.98480000000000001</v>
      </c>
      <c r="AC21" s="381">
        <v>1.1136999999999999</v>
      </c>
      <c r="AD21" s="381">
        <v>1.2547999999999999</v>
      </c>
      <c r="AE21" s="381"/>
      <c r="AM21" s="444" t="s">
        <v>153</v>
      </c>
      <c r="AN21" s="444">
        <v>1600</v>
      </c>
      <c r="AO21" s="444">
        <v>120</v>
      </c>
      <c r="AP21" s="444">
        <v>12</v>
      </c>
      <c r="AV21" s="390">
        <v>5555</v>
      </c>
      <c r="AW21" s="390">
        <v>5085</v>
      </c>
      <c r="AX21" s="390">
        <v>4670</v>
      </c>
      <c r="AY21" s="390">
        <v>4305</v>
      </c>
      <c r="AZ21" s="390">
        <v>3980</v>
      </c>
      <c r="BA21" s="390">
        <v>3690</v>
      </c>
      <c r="BB21" s="390">
        <v>3430</v>
      </c>
      <c r="BC21" s="390">
        <v>3200</v>
      </c>
    </row>
    <row r="22" spans="1:55" outlineLevel="1" x14ac:dyDescent="0.2">
      <c r="A22" s="402" t="s">
        <v>160</v>
      </c>
      <c r="B22" s="390" t="s">
        <v>232</v>
      </c>
      <c r="J22" s="398" t="s">
        <v>161</v>
      </c>
      <c r="N22" s="394">
        <v>0.75</v>
      </c>
      <c r="O22" s="397">
        <v>1</v>
      </c>
      <c r="P22" s="381">
        <v>0.44180000000000003</v>
      </c>
      <c r="Q22" s="381"/>
      <c r="R22" s="381">
        <v>0.1603</v>
      </c>
      <c r="W22" s="381"/>
      <c r="X22" s="381"/>
      <c r="Y22" s="381"/>
      <c r="Z22" s="381"/>
      <c r="AA22" s="381"/>
      <c r="AB22" s="381"/>
      <c r="AC22" s="381">
        <v>1.1841999999999999</v>
      </c>
      <c r="AD22" s="381">
        <v>1.3253999999999999</v>
      </c>
      <c r="AE22" s="381">
        <v>1.4787999999999999</v>
      </c>
      <c r="AM22" s="444"/>
      <c r="AN22" s="444"/>
      <c r="AO22" s="444"/>
      <c r="AP22" s="444"/>
      <c r="AV22" s="390">
        <v>3.7</v>
      </c>
      <c r="AW22" s="390">
        <v>4</v>
      </c>
      <c r="AX22" s="390">
        <v>4.4000000000000004</v>
      </c>
      <c r="AY22" s="390">
        <v>4.8</v>
      </c>
      <c r="AZ22" s="390">
        <v>5.2</v>
      </c>
      <c r="BA22" s="390">
        <v>5.6</v>
      </c>
      <c r="BB22" s="390">
        <v>6</v>
      </c>
      <c r="BC22" s="390">
        <v>6.4</v>
      </c>
    </row>
    <row r="23" spans="1:55" outlineLevel="1" x14ac:dyDescent="0.2">
      <c r="A23" s="402" t="s">
        <v>161</v>
      </c>
      <c r="N23" s="394">
        <v>0.8125</v>
      </c>
      <c r="O23" s="397">
        <v>1</v>
      </c>
      <c r="P23" s="381">
        <v>0.51849999999999996</v>
      </c>
      <c r="Q23" s="381"/>
      <c r="R23" s="381">
        <v>0.17330000000000001</v>
      </c>
      <c r="V23" s="381"/>
      <c r="W23" s="381"/>
      <c r="X23" s="381"/>
      <c r="Y23" s="381"/>
      <c r="Z23" s="381"/>
      <c r="AA23" s="381"/>
      <c r="AB23" s="381"/>
      <c r="AC23" s="381"/>
      <c r="AD23" s="381">
        <v>1.4020999999999999</v>
      </c>
      <c r="AE23" s="381">
        <v>1.5555000000000001</v>
      </c>
    </row>
    <row r="24" spans="1:55" outlineLevel="1" x14ac:dyDescent="0.2">
      <c r="A24" s="400" t="s">
        <v>162</v>
      </c>
      <c r="B24" s="390" t="s">
        <v>136</v>
      </c>
      <c r="C24" s="390" t="s">
        <v>163</v>
      </c>
      <c r="D24" s="390" t="s">
        <v>164</v>
      </c>
      <c r="E24" s="390" t="s">
        <v>138</v>
      </c>
      <c r="R24" s="381">
        <v>0.18640000000000001</v>
      </c>
    </row>
    <row r="25" spans="1:55" outlineLevel="1" x14ac:dyDescent="0.2">
      <c r="A25" s="400"/>
      <c r="B25" s="385">
        <v>28</v>
      </c>
      <c r="C25" s="390">
        <v>0</v>
      </c>
      <c r="D25" s="390">
        <v>990</v>
      </c>
      <c r="E25" s="390">
        <f>D25-C25</f>
        <v>990</v>
      </c>
      <c r="R25" s="381">
        <v>0.20100000000000001</v>
      </c>
    </row>
    <row r="26" spans="1:55" outlineLevel="1" x14ac:dyDescent="0.2">
      <c r="A26" s="400" t="s">
        <v>165</v>
      </c>
      <c r="B26" s="390" t="s">
        <v>166</v>
      </c>
      <c r="C26" s="390" t="s">
        <v>167</v>
      </c>
      <c r="D26" s="390" t="s">
        <v>168</v>
      </c>
      <c r="E26" s="388" t="s">
        <v>169</v>
      </c>
      <c r="R26" s="381">
        <v>0.2155</v>
      </c>
    </row>
    <row r="27" spans="1:55" outlineLevel="1" x14ac:dyDescent="0.2">
      <c r="A27" s="400"/>
      <c r="C27" s="390">
        <v>12.35</v>
      </c>
      <c r="D27" s="390">
        <v>26</v>
      </c>
      <c r="E27" s="390">
        <v>14</v>
      </c>
      <c r="R27" s="381">
        <v>0.23100000000000001</v>
      </c>
    </row>
    <row r="28" spans="1:55" outlineLevel="1" x14ac:dyDescent="0.2">
      <c r="A28" s="400" t="s">
        <v>170</v>
      </c>
      <c r="B28" s="390">
        <v>3</v>
      </c>
      <c r="R28" s="381">
        <v>0.2462</v>
      </c>
    </row>
    <row r="29" spans="1:55" s="388" customFormat="1" outlineLevel="1" x14ac:dyDescent="0.2">
      <c r="A29" s="402" t="s">
        <v>171</v>
      </c>
      <c r="B29" s="388">
        <f>IF(D5=1,1,IF(D5=2,0.36,IF(D5=3,0.22,IF(D5=4,0.15))))</f>
        <v>0.22</v>
      </c>
      <c r="R29" s="381">
        <v>0.26229999999999998</v>
      </c>
    </row>
    <row r="30" spans="1:55" outlineLevel="1" x14ac:dyDescent="0.2">
      <c r="R30" s="381">
        <v>0.27839999999999998</v>
      </c>
    </row>
    <row r="31" spans="1:55" outlineLevel="1" x14ac:dyDescent="0.2">
      <c r="A31" s="442" t="s">
        <v>423</v>
      </c>
      <c r="B31" s="442"/>
      <c r="C31" s="390" t="s">
        <v>234</v>
      </c>
      <c r="R31" s="381">
        <v>0.29609999999999997</v>
      </c>
    </row>
    <row r="32" spans="1:55" outlineLevel="1" x14ac:dyDescent="0.2">
      <c r="A32" s="442" t="s">
        <v>172</v>
      </c>
      <c r="B32" s="442"/>
      <c r="C32" s="380">
        <f>(11800)/(B25*C27)</f>
        <v>34.123770965876226</v>
      </c>
      <c r="G32" s="380"/>
      <c r="K32" s="380"/>
      <c r="R32" s="381">
        <v>0.31369999999999998</v>
      </c>
    </row>
    <row r="33" spans="1:18" outlineLevel="1" x14ac:dyDescent="0.2">
      <c r="A33" s="442" t="s">
        <v>173</v>
      </c>
      <c r="B33" s="442"/>
      <c r="C33" s="390">
        <f>((C32*((B25^2)-(B5^2)))/24.5)</f>
        <v>1049.8282598175185</v>
      </c>
      <c r="D33" s="390">
        <f>((D32*((C25^2)-(C5^2)))/24.5)</f>
        <v>0</v>
      </c>
      <c r="F33" s="390">
        <f>(B19*B16*C15*B20*(7.25^2))/C35</f>
        <v>1415.3916768665849</v>
      </c>
      <c r="R33" s="381">
        <v>0.33129999999999998</v>
      </c>
    </row>
    <row r="34" spans="1:18" outlineLevel="1" x14ac:dyDescent="0.2">
      <c r="A34" s="442" t="s">
        <v>174</v>
      </c>
      <c r="B34" s="442"/>
      <c r="C34" s="390">
        <f>C33/B20</f>
        <v>9.5438932710683506</v>
      </c>
      <c r="E34" s="390">
        <f>(((C33/B20*C35)/(B19*B16*C15))+(B23/2))^(0.5)</f>
        <v>6.2439413844393368</v>
      </c>
      <c r="R34" s="381">
        <v>0.35049999999999998</v>
      </c>
    </row>
    <row r="35" spans="1:18" outlineLevel="1" x14ac:dyDescent="0.2">
      <c r="A35" s="442" t="s">
        <v>175</v>
      </c>
      <c r="B35" s="442"/>
      <c r="C35" s="390">
        <f>IF(B22="Triblex",98.04,73.53)</f>
        <v>98.04</v>
      </c>
      <c r="R35" s="381">
        <v>0.36969999999999997</v>
      </c>
    </row>
    <row r="36" spans="1:18" outlineLevel="1" x14ac:dyDescent="0.2">
      <c r="A36" s="442" t="s">
        <v>176</v>
      </c>
      <c r="B36" s="442"/>
      <c r="C36" s="390">
        <f>(((C34*C35)/(B19*B16*C15))+(B23/2))^(0.5)</f>
        <v>6.2439413844393368</v>
      </c>
      <c r="D36" s="390" t="s">
        <v>435</v>
      </c>
      <c r="E36" s="390" t="s">
        <v>435</v>
      </c>
      <c r="F36" s="390" t="s">
        <v>435</v>
      </c>
      <c r="H36" s="381"/>
      <c r="R36" s="381">
        <v>0.38890000000000002</v>
      </c>
    </row>
    <row r="37" spans="1:18" outlineLevel="1" x14ac:dyDescent="0.2">
      <c r="A37" s="442" t="s">
        <v>176</v>
      </c>
      <c r="B37" s="442"/>
      <c r="C37" s="390">
        <f>IF(C36&lt;4.5,4.5,IF(C36&lt;4.75,4.75,IF(C36&lt;5,5,IF(C36&lt;5.25,5.25,IF(C36&lt;5.5,5.5,IF(C36&lt;5.75,5.75,IF(C36&lt;6,6,IF(C36&lt;6.25,6.25,IF(C36&lt;6.5,6.5,IF(C36&lt;6.75,6.75,IF(C36&lt;7,7,IF(C36&lt;7.25,7.25))))))))))))</f>
        <v>6.25</v>
      </c>
      <c r="D37" s="390" t="s">
        <v>434</v>
      </c>
      <c r="F37" s="390" t="s">
        <v>434</v>
      </c>
      <c r="H37" s="381"/>
      <c r="R37" s="381">
        <v>0.40960000000000002</v>
      </c>
    </row>
    <row r="38" spans="1:18" outlineLevel="1" x14ac:dyDescent="0.2">
      <c r="A38" s="442" t="s">
        <v>177</v>
      </c>
      <c r="B38" s="442"/>
      <c r="C38" s="384">
        <f>(B19*B16*(C37^2))/C35</f>
        <v>4.7812117503059977</v>
      </c>
      <c r="D38" s="390" t="s">
        <v>434</v>
      </c>
      <c r="E38" s="384" t="s">
        <v>440</v>
      </c>
      <c r="F38" s="390" t="s">
        <v>434</v>
      </c>
      <c r="H38" s="381"/>
      <c r="K38" s="384"/>
      <c r="L38" s="384"/>
      <c r="R38" s="381">
        <v>0.43030000000000002</v>
      </c>
    </row>
    <row r="39" spans="1:18" outlineLevel="1" x14ac:dyDescent="0.2">
      <c r="A39" s="443" t="s">
        <v>178</v>
      </c>
      <c r="B39" s="443"/>
      <c r="C39" s="390">
        <f>C38*B20*C15</f>
        <v>1051.8665850673194</v>
      </c>
      <c r="D39" s="390" t="s">
        <v>434</v>
      </c>
      <c r="E39" s="388">
        <f>C39/42</f>
        <v>25.044442501602845</v>
      </c>
      <c r="F39" s="390" t="s">
        <v>434</v>
      </c>
      <c r="H39" s="381"/>
      <c r="I39" s="391"/>
      <c r="J39" s="391" t="s">
        <v>441</v>
      </c>
      <c r="R39" s="381">
        <v>0.45100000000000001</v>
      </c>
    </row>
    <row r="40" spans="1:18" outlineLevel="1" x14ac:dyDescent="0.2">
      <c r="A40" s="442" t="s">
        <v>179</v>
      </c>
      <c r="B40" s="442"/>
      <c r="C40" s="382">
        <f>(24.5*C39)/((B25^2)-(B5^2))</f>
        <v>34.190024987262788</v>
      </c>
      <c r="D40" s="390" t="s">
        <v>434</v>
      </c>
      <c r="E40" s="388"/>
      <c r="F40" s="390" t="s">
        <v>434</v>
      </c>
      <c r="H40" s="381"/>
      <c r="R40" s="381">
        <v>0.47320000000000001</v>
      </c>
    </row>
    <row r="41" spans="1:18" ht="15.75" customHeight="1" outlineLevel="1" x14ac:dyDescent="0.2">
      <c r="A41" s="442" t="s">
        <v>180</v>
      </c>
      <c r="B41" s="442"/>
      <c r="C41" s="382">
        <f>(24.5*C39)/((B25^2)-(B7^2))</f>
        <v>43.827774377804971</v>
      </c>
      <c r="D41" s="390" t="s">
        <v>434</v>
      </c>
      <c r="E41" s="390" t="s">
        <v>433</v>
      </c>
      <c r="F41" s="390" t="s">
        <v>434</v>
      </c>
      <c r="H41" s="381"/>
      <c r="R41" s="381">
        <v>0.4955</v>
      </c>
    </row>
    <row r="42" spans="1:18" outlineLevel="1" x14ac:dyDescent="0.2">
      <c r="A42" s="442" t="s">
        <v>181</v>
      </c>
      <c r="B42" s="442"/>
      <c r="C42" s="390">
        <v>5085</v>
      </c>
      <c r="D42" s="390" t="s">
        <v>434</v>
      </c>
      <c r="E42" s="388">
        <f>C37</f>
        <v>6.25</v>
      </c>
      <c r="F42" s="390" t="s">
        <v>434</v>
      </c>
      <c r="H42" s="381"/>
      <c r="I42" s="382">
        <f>C44+C45+C46+C47+C48</f>
        <v>236.82469895181089</v>
      </c>
      <c r="J42" s="390">
        <f>C33^1.86</f>
        <v>416178.8080399005</v>
      </c>
      <c r="R42" s="381">
        <v>0.51770000000000005</v>
      </c>
    </row>
    <row r="43" spans="1:18" outlineLevel="1" x14ac:dyDescent="0.2">
      <c r="A43" s="442" t="s">
        <v>182</v>
      </c>
      <c r="B43" s="442"/>
      <c r="C43" s="390" t="str">
        <f>IF(B21&lt;C42,"Possible","Impossible")</f>
        <v>Possible</v>
      </c>
      <c r="D43" s="390" t="s">
        <v>434</v>
      </c>
      <c r="F43" s="390" t="s">
        <v>434</v>
      </c>
      <c r="H43" s="381"/>
      <c r="J43" s="390">
        <f>I42/J42</f>
        <v>5.690455505584169E-4</v>
      </c>
      <c r="R43" s="381">
        <v>0.54139999999999999</v>
      </c>
    </row>
    <row r="44" spans="1:18" outlineLevel="1" x14ac:dyDescent="0.2">
      <c r="A44" s="442" t="s">
        <v>183</v>
      </c>
      <c r="B44" s="442"/>
      <c r="C44" s="390">
        <f>(B29*C27*((C39/100)^1.86))</f>
        <v>216.2402148119539</v>
      </c>
      <c r="D44" s="390" t="s">
        <v>434</v>
      </c>
      <c r="F44" s="390" t="s">
        <v>434</v>
      </c>
      <c r="H44" s="381"/>
      <c r="I44" s="390">
        <v>1000</v>
      </c>
      <c r="J44" s="390">
        <f>I44/J43</f>
        <v>1757328.5636249648</v>
      </c>
      <c r="K44" s="381"/>
      <c r="R44" s="381">
        <v>0.56530000000000002</v>
      </c>
    </row>
    <row r="45" spans="1:18" outlineLevel="1" x14ac:dyDescent="0.2">
      <c r="A45" s="442" t="s">
        <v>184</v>
      </c>
      <c r="B45" s="442"/>
      <c r="C45" s="382">
        <f>(61*(10^-6)*C27*E7*(C39^1.86))/(C5^4.86)</f>
        <v>129.86481148908049</v>
      </c>
      <c r="D45" s="390" t="s">
        <v>434</v>
      </c>
      <c r="F45" s="390" t="s">
        <v>434</v>
      </c>
      <c r="H45" s="381"/>
      <c r="J45" s="390">
        <f>J44^(1/1.86)</f>
        <v>2277.444657580706</v>
      </c>
      <c r="R45" s="381">
        <v>0.58899999999999997</v>
      </c>
    </row>
    <row r="46" spans="1:18" outlineLevel="1" x14ac:dyDescent="0.2">
      <c r="A46" s="442" t="s">
        <v>185</v>
      </c>
      <c r="B46" s="442"/>
      <c r="C46" s="382">
        <f>((61*(10^-6)*C27*(E5-E7)*(C39^1.86)))/(C5^4.86)</f>
        <v>-109.41681773125583</v>
      </c>
      <c r="D46" s="390" t="s">
        <v>434</v>
      </c>
      <c r="F46" s="390" t="s">
        <v>434</v>
      </c>
      <c r="H46" s="381"/>
      <c r="R46" s="381">
        <v>0.64119999999999999</v>
      </c>
    </row>
    <row r="47" spans="1:18" outlineLevel="1" x14ac:dyDescent="0.2">
      <c r="A47" s="442" t="s">
        <v>186</v>
      </c>
      <c r="B47" s="442"/>
      <c r="C47" s="382">
        <f>(1.4327*(10^-7)*C27*E7*(C41^2))/(B25-B7)</f>
        <v>0.20043665906336647</v>
      </c>
      <c r="D47" s="390" t="s">
        <v>434</v>
      </c>
      <c r="F47" s="390" t="s">
        <v>434</v>
      </c>
      <c r="H47" s="381"/>
      <c r="R47" s="381">
        <v>0.69340000000000002</v>
      </c>
    </row>
    <row r="48" spans="1:18" outlineLevel="1" x14ac:dyDescent="0.2">
      <c r="A48" s="442" t="s">
        <v>187</v>
      </c>
      <c r="B48" s="442"/>
      <c r="C48" s="382">
        <f>(1.4327*(10^-7)*C27*(E5-E7)*(C40^2))/(B25-B5)</f>
        <v>-6.3946277031048382E-2</v>
      </c>
      <c r="D48" s="390" t="s">
        <v>434</v>
      </c>
      <c r="F48" s="390" t="s">
        <v>434</v>
      </c>
      <c r="G48" s="382"/>
      <c r="H48" s="381"/>
      <c r="K48" s="382"/>
      <c r="R48" s="381">
        <v>0.74550000000000005</v>
      </c>
    </row>
    <row r="49" spans="1:18" outlineLevel="1" x14ac:dyDescent="0.2">
      <c r="A49" s="442" t="s">
        <v>188</v>
      </c>
      <c r="B49" s="442"/>
      <c r="C49" s="380">
        <f>C44+C45+C46+C47+C48</f>
        <v>236.82469895181089</v>
      </c>
      <c r="D49" s="390" t="s">
        <v>434</v>
      </c>
      <c r="F49" s="390" t="s">
        <v>434</v>
      </c>
      <c r="G49" s="380"/>
      <c r="H49" s="381"/>
      <c r="K49" s="380"/>
      <c r="R49" s="381">
        <v>0.80379999999999996</v>
      </c>
    </row>
    <row r="50" spans="1:18" outlineLevel="1" x14ac:dyDescent="0.2">
      <c r="A50" s="443" t="s">
        <v>189</v>
      </c>
      <c r="B50" s="443"/>
      <c r="C50" s="380">
        <f>B21-C49</f>
        <v>2763.1753010481889</v>
      </c>
      <c r="D50" s="390" t="s">
        <v>434</v>
      </c>
      <c r="F50" s="390" t="s">
        <v>434</v>
      </c>
      <c r="G50" s="380"/>
      <c r="H50" s="381"/>
      <c r="I50" s="391"/>
      <c r="J50" s="391"/>
      <c r="K50" s="391"/>
      <c r="R50" s="381">
        <v>0.86209999999999998</v>
      </c>
    </row>
    <row r="51" spans="1:18" outlineLevel="1" x14ac:dyDescent="0.2">
      <c r="A51" s="443" t="s">
        <v>424</v>
      </c>
      <c r="B51" s="443"/>
      <c r="C51" s="390">
        <f>((C27*(C39^2))/(C50*10858))^(0.5)</f>
        <v>0.67486203936256406</v>
      </c>
      <c r="D51" s="390" t="s">
        <v>434</v>
      </c>
      <c r="E51" s="390" t="s">
        <v>235</v>
      </c>
      <c r="F51" s="390" t="s">
        <v>434</v>
      </c>
      <c r="H51" s="381"/>
      <c r="I51" s="391"/>
      <c r="K51" s="391"/>
      <c r="R51" s="381">
        <v>0.9204</v>
      </c>
    </row>
    <row r="52" spans="1:18" outlineLevel="1" x14ac:dyDescent="0.2">
      <c r="A52" s="443" t="s">
        <v>424</v>
      </c>
      <c r="B52" s="443"/>
      <c r="C52" s="381">
        <f>IF(C51&lt;0.1129,0.1129,IF(C51&lt;0.1243,0.1243,IF(C51&lt;0.1358,0.1358,IF(C51&lt;0.1473,0.1473,IF(C51&lt;0.1603,0.1603,IF(C51&lt;0.1733,0.1733,IF(C51&lt;0.1864,0.1864,IF(C51&lt;0.201,0.201,IF(C51&lt;0.2155,0.2155,IF(C51&lt;0.231,0.231,IF(C51&lt;0.2462,0.2462,IF(C51&lt;0.2623,0.2623,IF(C51&lt;0.2784,0.2784,IF(C51&lt;0.2961,0.2961,IF(C51&lt;0.3137,0.3137,IF(C51&lt;0.3313,0.3313,IF(C51&lt;0.3505,0.3505,IF(C51&lt;0.3697,0.3697,IF(C51&lt;0.3889,0.3889,IF(C51&lt;0.4096,0.4096,IF(C51&lt;0.4303,0.4303,IF(C51&lt;0.451,0.451,IF(C51&lt;0.4732,0.4732,IF(C51&lt;0.4955,0.4955,IF(C51&lt;0.5177,0.5177,IF(C51&lt;0.5414,0.5414,IF(C51&lt;0.5653,0.5653,IF(C51&lt;0.589,0.589,IF(C51&lt;0.6412,0.6412,IF(C51&lt;0.6934,0.6934,IF(C51&lt;0.7455,0.7455,IF(C51&lt;0.8038,0.8038,IF(C51&lt;0.8621,0.8621,IF(C51&lt;0.9204,0.9204,IF(C51&lt;0.9848,0.9848,IF(C51&lt;1.0492,1.0492,IF(C51&lt;1.1137,1.1137,IF(C51&lt;1.1842,1.1842,IF(C51&lt;1.2548,1.2548,IF(C51&lt;1.3254,1.3254,IF(C51&lt;1.4021,1.4021,IF(C51&lt;1.4788,1.4788,IF(C51&lt;1.5555,1.5555)))))))))))))))))))))))))))))))))))))))))))</f>
        <v>0.69340000000000002</v>
      </c>
      <c r="D52" s="390" t="s">
        <v>434</v>
      </c>
      <c r="E52" s="390" t="str">
        <f>IF(C52=0.1129,"7/32,7/32,7/32",IF(C52=0.1243,"7/32,7/32,8/32",IF(C52=0.1358,"7/32,8/32,8/32",IF(C52=0.1473,"8/32,8/32,8/32",IF(C52=0.1603,"9/32,8/32,8/32",IF(C52=0.1733,"9/32,9/32,8/32",IF(C52=0.1864,"9/32,9/32,9/32",IF(C52=0.201,"9/32,9/32,10/32",IF(C52=0.2155,"10/32,10/32,9/32",IF(C52=0.231,"10/32,10/32,10/32",IF(C52=0.2462,"10/32,10/32,11/32",IF(C52=0.2623,"11/32,11/32,10/32",IF(C52=0.2784,"11/32,11/32,11/32",IF(C52=0.2961,"11/32,11/32,12/32",IF(C52=0.3137,"12/32,12/32,11/32",IF(C52=0.3313,"12/32,12/32,12/32",IF(C52=0.3505,"12/32,12/32,13/32",IF(C52=0.3697,"13/32,13/32,12/32",IF(C52=0.3889,"13/32,13/32,13/32",IF(C52=0.4096,"13/32,13/32,14/32",IF(C52=0.4303,"14/32,14/32,13/32",IF(C52=0.451,"14/32,14/32,14/32",IF(C52=0.4732,"14/32,14/32,15/32",IF(C52=0.4955,"15/32,15/32,14/32",IF(C52=0.5177, "15/32,15/32,15/32",IF(C52=0.5414, "15/32,15/32,16/32",IF(C52=0.5653, "16/32,16/32,15/32",IF(C52=0.589,"16/32,16/32,16/32",IF(C52=0.6412,"16/32,16/32,18/32",IF(C52=0.6934,"18/32,16/32,16/32",IF(C52=0.7455,"18/32,18/32,18/32",IF(C52=0.8038,"18/32,18/32,20/32",IF(C52=0.8621,"20/32,20/3218/32",IF(C52=0.9204,"20/32,20/32,20/32",IF(C52=0.9848,"20/32,20/32,22/32",IF(C52=1.0492,"20/32,22/32,22/32",IF(C52=1.1137,"22/32,22/32,22/32",IF(C52=1.1842,"22/32,22/32,24/32",IF(C52=1.2548,"24/32,24/32,22/32",IF(C52=1.3254,"24/32,24/32,24/32",IF(C52=1.4021,"24/32,24/32,26/32",IF(C52=1.4788,"26/32,26/32,24/32",IF(C52=1.5555,"26/32,26/32,26/32")))))))))))))))))))))))))))))))))))))))))))</f>
        <v>18/32,16/32,16/32</v>
      </c>
      <c r="F52" s="390" t="s">
        <v>434</v>
      </c>
      <c r="H52" s="381"/>
      <c r="I52" s="391"/>
      <c r="R52" s="381">
        <v>0.98480000000000001</v>
      </c>
    </row>
    <row r="53" spans="1:18" outlineLevel="1" x14ac:dyDescent="0.2">
      <c r="A53" s="442" t="s">
        <v>191</v>
      </c>
      <c r="B53" s="442"/>
      <c r="C53" s="390">
        <f>(C27*(C39^2))/((C52^2)*10858)</f>
        <v>2617.4040109167217</v>
      </c>
      <c r="D53" s="390" t="s">
        <v>434</v>
      </c>
      <c r="F53" s="390" t="s">
        <v>434</v>
      </c>
      <c r="H53" s="381"/>
      <c r="R53" s="381">
        <v>1.0491999999999999</v>
      </c>
    </row>
    <row r="54" spans="1:18" outlineLevel="1" x14ac:dyDescent="0.2">
      <c r="A54" s="442" t="s">
        <v>192</v>
      </c>
      <c r="B54" s="442"/>
      <c r="C54" s="390">
        <f>((C50-C53)*(E5-E7))/(C46+C48)</f>
        <v>926.21307199111095</v>
      </c>
      <c r="D54" s="390" t="s">
        <v>435</v>
      </c>
      <c r="E54" s="390" t="s">
        <v>435</v>
      </c>
      <c r="F54" s="390" t="s">
        <v>435</v>
      </c>
      <c r="H54" s="381"/>
      <c r="K54" s="391"/>
      <c r="R54" s="381">
        <v>1.1136999999999999</v>
      </c>
    </row>
    <row r="55" spans="1:18" outlineLevel="1" x14ac:dyDescent="0.2">
      <c r="A55" s="443" t="s">
        <v>193</v>
      </c>
      <c r="B55" s="443"/>
      <c r="C55" s="390">
        <f>E7+E5+C54</f>
        <v>1881.8405488735416</v>
      </c>
      <c r="E55" s="391"/>
      <c r="F55" s="391"/>
      <c r="H55" s="381"/>
      <c r="I55" s="391"/>
      <c r="R55" s="381">
        <v>1.1841999999999999</v>
      </c>
    </row>
    <row r="56" spans="1:18" outlineLevel="1" x14ac:dyDescent="0.2">
      <c r="A56" s="442" t="s">
        <v>194</v>
      </c>
      <c r="B56" s="442"/>
      <c r="C56" s="390">
        <f>(0.32086*C39)/(C52)</f>
        <v>486.73480312186342</v>
      </c>
      <c r="D56" s="390" t="s">
        <v>241</v>
      </c>
      <c r="H56" s="381"/>
      <c r="R56" s="381">
        <v>1.2547999999999999</v>
      </c>
    </row>
    <row r="57" spans="1:18" outlineLevel="1" x14ac:dyDescent="0.2">
      <c r="A57" s="442" t="s">
        <v>195</v>
      </c>
      <c r="B57" s="442"/>
      <c r="C57" s="390">
        <f>(615*(10^-6)*C27*C39*C56)</f>
        <v>3888.6166661112165</v>
      </c>
      <c r="H57" s="381"/>
      <c r="R57" s="381">
        <v>1.3253999999999999</v>
      </c>
    </row>
    <row r="58" spans="1:18" outlineLevel="1" x14ac:dyDescent="0.2">
      <c r="A58" s="442" t="s">
        <v>196</v>
      </c>
      <c r="B58" s="442"/>
      <c r="C58" s="390">
        <f>(C39*C53)/1714</f>
        <v>1606.277607178808</v>
      </c>
      <c r="H58" s="381"/>
      <c r="K58" s="391"/>
      <c r="R58" s="381">
        <v>1.4020999999999999</v>
      </c>
    </row>
    <row r="59" spans="1:18" outlineLevel="1" x14ac:dyDescent="0.2">
      <c r="A59" s="443" t="s">
        <v>197</v>
      </c>
      <c r="B59" s="443"/>
      <c r="C59" s="390">
        <f>C58/(3.141592654*((B25^2)/4))</f>
        <v>2.6086430727239636</v>
      </c>
      <c r="D59" s="389" t="s">
        <v>242</v>
      </c>
      <c r="E59" s="391"/>
      <c r="F59" s="391"/>
      <c r="H59" s="381"/>
      <c r="I59" s="391"/>
      <c r="R59" s="381">
        <v>1.4787999999999999</v>
      </c>
    </row>
    <row r="60" spans="1:18" outlineLevel="1" x14ac:dyDescent="0.2">
      <c r="A60" s="443" t="s">
        <v>198</v>
      </c>
      <c r="B60" s="443"/>
      <c r="C60" s="390">
        <f>(C39*B21)/1714</f>
        <v>1841.0733694293804</v>
      </c>
      <c r="E60" s="391"/>
      <c r="F60" s="391"/>
      <c r="H60" s="381"/>
      <c r="I60" s="391"/>
      <c r="J60" s="391"/>
      <c r="R60" s="381">
        <v>1.5555000000000001</v>
      </c>
    </row>
    <row r="61" spans="1:18" outlineLevel="1" x14ac:dyDescent="0.2">
      <c r="A61" s="442" t="s">
        <v>199</v>
      </c>
      <c r="B61" s="442"/>
      <c r="C61" s="383">
        <f>C58/C60</f>
        <v>0.87246800363890731</v>
      </c>
      <c r="D61" s="390">
        <v>66</v>
      </c>
      <c r="G61" s="383"/>
      <c r="H61" s="381"/>
      <c r="K61" s="383"/>
    </row>
    <row r="62" spans="1:18" x14ac:dyDescent="0.2">
      <c r="A62" s="390" t="s">
        <v>436</v>
      </c>
      <c r="B62" s="390" t="s">
        <v>435</v>
      </c>
      <c r="C62" s="390" t="s">
        <v>435</v>
      </c>
      <c r="D62" s="390" t="s">
        <v>435</v>
      </c>
      <c r="E62" s="390" t="s">
        <v>435</v>
      </c>
      <c r="F62" s="390" t="s">
        <v>435</v>
      </c>
      <c r="H62" s="381"/>
    </row>
    <row r="63" spans="1:18" x14ac:dyDescent="0.2">
      <c r="A63" s="444" t="s">
        <v>415</v>
      </c>
      <c r="B63" s="444"/>
      <c r="C63" s="444"/>
      <c r="D63" s="444"/>
      <c r="E63" s="444"/>
      <c r="F63" s="444"/>
      <c r="H63" s="381"/>
    </row>
    <row r="64" spans="1:18" ht="42" customHeight="1" x14ac:dyDescent="0.2">
      <c r="A64" s="444"/>
      <c r="B64" s="444"/>
      <c r="C64" s="444"/>
      <c r="D64" s="444"/>
      <c r="E64" s="444"/>
      <c r="F64" s="444"/>
      <c r="H64" s="381"/>
    </row>
    <row r="65" spans="1:8" outlineLevel="1" x14ac:dyDescent="0.2">
      <c r="H65" s="381"/>
    </row>
    <row r="66" spans="1:8" outlineLevel="1" x14ac:dyDescent="0.2">
      <c r="A66" s="400" t="s">
        <v>134</v>
      </c>
      <c r="B66" s="391" t="s">
        <v>135</v>
      </c>
      <c r="C66" s="391" t="s">
        <v>136</v>
      </c>
      <c r="D66" s="391" t="s">
        <v>137</v>
      </c>
      <c r="E66" s="391" t="s">
        <v>138</v>
      </c>
      <c r="F66" s="391" t="s">
        <v>139</v>
      </c>
      <c r="H66" s="381"/>
    </row>
    <row r="67" spans="1:8" outlineLevel="1" x14ac:dyDescent="0.2">
      <c r="A67" s="401" t="s">
        <v>140</v>
      </c>
      <c r="B67" s="385">
        <v>5.5</v>
      </c>
      <c r="C67" s="385">
        <v>4.7779999999999996</v>
      </c>
      <c r="D67" s="390">
        <v>3</v>
      </c>
      <c r="E67" s="382">
        <v>1961.94</v>
      </c>
      <c r="H67" s="381"/>
    </row>
    <row r="68" spans="1:8" outlineLevel="1" x14ac:dyDescent="0.2">
      <c r="A68" s="400" t="s">
        <v>141</v>
      </c>
      <c r="B68" s="385"/>
      <c r="C68" s="385"/>
      <c r="D68" s="390" t="s">
        <v>142</v>
      </c>
      <c r="H68" s="381"/>
    </row>
    <row r="69" spans="1:8" outlineLevel="1" x14ac:dyDescent="0.2">
      <c r="A69" s="401" t="s">
        <v>143</v>
      </c>
      <c r="B69" s="386">
        <v>11</v>
      </c>
      <c r="C69" s="386">
        <v>3</v>
      </c>
      <c r="E69" s="390">
        <f>'Systems Data'!L10</f>
        <v>825.62747688243064</v>
      </c>
      <c r="H69" s="381"/>
    </row>
    <row r="70" spans="1:8" outlineLevel="1" x14ac:dyDescent="0.2">
      <c r="A70" s="400" t="s">
        <v>144</v>
      </c>
      <c r="B70" s="386"/>
      <c r="C70" s="386"/>
      <c r="E70" s="382">
        <f>E67</f>
        <v>1961.94</v>
      </c>
      <c r="F70" s="390">
        <v>68</v>
      </c>
      <c r="H70" s="381"/>
    </row>
    <row r="71" spans="1:8" outlineLevel="1" x14ac:dyDescent="0.2">
      <c r="A71" s="400" t="s">
        <v>145</v>
      </c>
      <c r="B71" s="385"/>
      <c r="C71" s="385"/>
      <c r="H71" s="381"/>
    </row>
    <row r="72" spans="1:8" outlineLevel="1" x14ac:dyDescent="0.2">
      <c r="A72" s="400" t="s">
        <v>146</v>
      </c>
      <c r="B72" s="385"/>
      <c r="C72" s="385"/>
      <c r="H72" s="381"/>
    </row>
    <row r="73" spans="1:8" outlineLevel="1" x14ac:dyDescent="0.2">
      <c r="A73" s="400" t="s">
        <v>147</v>
      </c>
      <c r="B73" s="385"/>
      <c r="C73" s="385"/>
      <c r="H73" s="381"/>
    </row>
    <row r="74" spans="1:8" outlineLevel="1" x14ac:dyDescent="0.2">
      <c r="A74" s="400" t="s">
        <v>148</v>
      </c>
      <c r="B74" s="385"/>
      <c r="C74" s="385"/>
      <c r="H74" s="381"/>
    </row>
    <row r="75" spans="1:8" outlineLevel="1" x14ac:dyDescent="0.2">
      <c r="A75" s="400" t="s">
        <v>149</v>
      </c>
      <c r="H75" s="381"/>
    </row>
    <row r="76" spans="1:8" outlineLevel="1" x14ac:dyDescent="0.2">
      <c r="A76" s="400" t="s">
        <v>150</v>
      </c>
      <c r="B76" s="390" t="s">
        <v>151</v>
      </c>
      <c r="C76" s="390" t="s">
        <v>233</v>
      </c>
      <c r="H76" s="381"/>
    </row>
    <row r="77" spans="1:8" outlineLevel="1" x14ac:dyDescent="0.2">
      <c r="A77" s="400" t="s">
        <v>152</v>
      </c>
      <c r="B77" s="405" t="s">
        <v>153</v>
      </c>
      <c r="C77" s="390">
        <v>1</v>
      </c>
      <c r="H77" s="381"/>
    </row>
    <row r="78" spans="1:8" outlineLevel="1" x14ac:dyDescent="0.2">
      <c r="A78" s="400" t="s">
        <v>154</v>
      </c>
      <c r="B78" s="390">
        <v>12</v>
      </c>
      <c r="H78" s="381"/>
    </row>
    <row r="79" spans="1:8" outlineLevel="1" x14ac:dyDescent="0.2">
      <c r="A79" s="400" t="s">
        <v>155</v>
      </c>
      <c r="B79" s="390">
        <v>120</v>
      </c>
    </row>
    <row r="80" spans="1:8" outlineLevel="1" x14ac:dyDescent="0.2">
      <c r="A80" s="400" t="s">
        <v>156</v>
      </c>
      <c r="B80" s="387">
        <v>0.85</v>
      </c>
      <c r="C80" s="387"/>
      <c r="D80" s="387"/>
    </row>
    <row r="81" spans="1:11" outlineLevel="1" x14ac:dyDescent="0.2">
      <c r="A81" s="400" t="s">
        <v>157</v>
      </c>
      <c r="B81" s="387">
        <v>1</v>
      </c>
      <c r="C81" s="387"/>
      <c r="D81" s="387"/>
    </row>
    <row r="82" spans="1:11" outlineLevel="1" x14ac:dyDescent="0.2">
      <c r="A82" s="400" t="s">
        <v>158</v>
      </c>
      <c r="B82" s="390">
        <v>110</v>
      </c>
    </row>
    <row r="83" spans="1:11" outlineLevel="1" x14ac:dyDescent="0.2">
      <c r="A83" s="402" t="s">
        <v>159</v>
      </c>
      <c r="B83" s="390">
        <v>3000</v>
      </c>
    </row>
    <row r="84" spans="1:11" outlineLevel="1" x14ac:dyDescent="0.2">
      <c r="A84" s="402" t="s">
        <v>160</v>
      </c>
      <c r="B84" s="390" t="s">
        <v>232</v>
      </c>
    </row>
    <row r="85" spans="1:11" outlineLevel="1" x14ac:dyDescent="0.2">
      <c r="A85" s="402" t="s">
        <v>161</v>
      </c>
    </row>
    <row r="86" spans="1:11" outlineLevel="1" x14ac:dyDescent="0.2">
      <c r="A86" s="400" t="s">
        <v>162</v>
      </c>
      <c r="B86" s="390" t="s">
        <v>136</v>
      </c>
      <c r="C86" s="390" t="s">
        <v>163</v>
      </c>
      <c r="D86" s="390" t="s">
        <v>164</v>
      </c>
      <c r="E86" s="390" t="s">
        <v>138</v>
      </c>
    </row>
    <row r="87" spans="1:11" outlineLevel="1" x14ac:dyDescent="0.2">
      <c r="A87" s="400"/>
      <c r="B87" s="385">
        <v>19</v>
      </c>
      <c r="C87" s="390">
        <v>0</v>
      </c>
      <c r="D87" s="382">
        <v>1961.94</v>
      </c>
      <c r="E87" s="390">
        <f>D87-C87</f>
        <v>1961.94</v>
      </c>
    </row>
    <row r="88" spans="1:11" outlineLevel="1" x14ac:dyDescent="0.2">
      <c r="A88" s="400" t="s">
        <v>165</v>
      </c>
      <c r="B88" s="390" t="s">
        <v>166</v>
      </c>
      <c r="C88" s="390" t="s">
        <v>167</v>
      </c>
      <c r="D88" s="390" t="s">
        <v>168</v>
      </c>
      <c r="E88" s="388" t="s">
        <v>169</v>
      </c>
    </row>
    <row r="89" spans="1:11" outlineLevel="1" x14ac:dyDescent="0.2">
      <c r="A89" s="400"/>
      <c r="C89" s="390">
        <v>19.920000000000002</v>
      </c>
    </row>
    <row r="90" spans="1:11" outlineLevel="1" x14ac:dyDescent="0.2">
      <c r="A90" s="400" t="s">
        <v>170</v>
      </c>
      <c r="B90" s="390">
        <v>3</v>
      </c>
    </row>
    <row r="91" spans="1:11" outlineLevel="1" x14ac:dyDescent="0.2">
      <c r="A91" s="401" t="s">
        <v>171</v>
      </c>
      <c r="B91" s="390">
        <f>IF(D67=1,1,IF(D67=2,0.36,IF(D67=3,0.22,IF(D67=4,0.15))))</f>
        <v>0.22</v>
      </c>
    </row>
    <row r="92" spans="1:11" outlineLevel="1" x14ac:dyDescent="0.2">
      <c r="A92" s="399"/>
      <c r="B92" s="399"/>
      <c r="C92" s="399"/>
      <c r="D92" s="399"/>
      <c r="E92" s="399"/>
      <c r="F92" s="399"/>
      <c r="G92" s="399"/>
    </row>
    <row r="93" spans="1:11" outlineLevel="1" x14ac:dyDescent="0.2">
      <c r="A93" s="445"/>
      <c r="B93" s="445"/>
      <c r="C93" s="390" t="s">
        <v>234</v>
      </c>
    </row>
    <row r="94" spans="1:11" outlineLevel="1" x14ac:dyDescent="0.2">
      <c r="A94" s="442" t="s">
        <v>172</v>
      </c>
      <c r="B94" s="442"/>
      <c r="C94" s="380">
        <f>(11800)/(B87*C89)</f>
        <v>31.177340942718239</v>
      </c>
      <c r="G94" s="380"/>
      <c r="K94" s="380"/>
    </row>
    <row r="95" spans="1:11" outlineLevel="1" x14ac:dyDescent="0.2">
      <c r="A95" s="442" t="s">
        <v>173</v>
      </c>
      <c r="B95" s="442"/>
      <c r="C95" s="390">
        <f>((C94*((B87^2)-(B67^2)))/24.5)</f>
        <v>420.89410272669625</v>
      </c>
      <c r="D95" s="390">
        <f>((D94*((C87^2)-(C67^2)))/24.5)</f>
        <v>0</v>
      </c>
      <c r="F95" s="390">
        <f>(B81*B78*C77*B82*(7.25^2))/C97</f>
        <v>707.69583843329247</v>
      </c>
    </row>
    <row r="96" spans="1:11" outlineLevel="1" x14ac:dyDescent="0.2">
      <c r="A96" s="442" t="s">
        <v>174</v>
      </c>
      <c r="B96" s="442"/>
      <c r="C96" s="390">
        <f>C95/B82</f>
        <v>3.8263100247881479</v>
      </c>
    </row>
    <row r="97" spans="1:102" outlineLevel="1" x14ac:dyDescent="0.2">
      <c r="A97" s="442" t="s">
        <v>175</v>
      </c>
      <c r="B97" s="442"/>
      <c r="C97" s="390">
        <f>IF(B84="Triblex",98.04,73.53)</f>
        <v>98.04</v>
      </c>
    </row>
    <row r="98" spans="1:102" outlineLevel="1" x14ac:dyDescent="0.2">
      <c r="A98" s="442" t="s">
        <v>176</v>
      </c>
      <c r="B98" s="442"/>
      <c r="C98" s="390">
        <f>(((C96*C97)/(B81*B78*C77))+(B85/2))^(0.5)</f>
        <v>5.5911495153071309</v>
      </c>
      <c r="D98" s="390" t="s">
        <v>435</v>
      </c>
      <c r="E98" s="390" t="s">
        <v>435</v>
      </c>
      <c r="F98" s="390" t="s">
        <v>435</v>
      </c>
    </row>
    <row r="99" spans="1:102" outlineLevel="1" x14ac:dyDescent="0.2">
      <c r="A99" s="442" t="s">
        <v>176</v>
      </c>
      <c r="B99" s="442"/>
      <c r="C99" s="390">
        <f>IF(C98&lt;4.5,4.5,IF(C98&lt;4.75,4.75,IF(C98&lt;5,5,IF(C98&lt;5.25,5.25,IF(C98&lt;5.5,5.5,IF(C98&lt;5.75,5.75,IF(C98&lt;6,6,IF(C98&lt;6.25,6.25,IF(C98&lt;6.5,6.5,IF(C98&lt;6.75,6.75,IF(C98&lt;7,7,IF(C98&lt;7.25,7.25))))))))))))</f>
        <v>5.75</v>
      </c>
      <c r="D99" s="390" t="s">
        <v>434</v>
      </c>
      <c r="F99" s="390" t="s">
        <v>434</v>
      </c>
    </row>
    <row r="100" spans="1:102" outlineLevel="1" x14ac:dyDescent="0.2">
      <c r="A100" s="442" t="s">
        <v>177</v>
      </c>
      <c r="B100" s="442"/>
      <c r="C100" s="384">
        <f>(B81*B78*C77*(C99^2))/C97</f>
        <v>4.0468176254589965</v>
      </c>
      <c r="D100" s="390" t="s">
        <v>434</v>
      </c>
      <c r="E100" s="384" t="s">
        <v>440</v>
      </c>
      <c r="F100" s="390" t="s">
        <v>434</v>
      </c>
      <c r="H100" s="384"/>
      <c r="K100" s="384"/>
      <c r="CV100" s="390">
        <v>1</v>
      </c>
      <c r="CW100" s="390">
        <v>1</v>
      </c>
      <c r="CX100" s="390">
        <v>1</v>
      </c>
    </row>
    <row r="101" spans="1:102" ht="15" customHeight="1" outlineLevel="1" x14ac:dyDescent="0.2">
      <c r="A101" s="443" t="s">
        <v>178</v>
      </c>
      <c r="B101" s="443"/>
      <c r="C101" s="390">
        <f>C100*B82*C77</f>
        <v>445.14993880048962</v>
      </c>
      <c r="D101" s="390" t="s">
        <v>434</v>
      </c>
      <c r="E101" s="388">
        <f>C101/42</f>
        <v>10.598808066678325</v>
      </c>
      <c r="F101" s="390" t="s">
        <v>434</v>
      </c>
    </row>
    <row r="102" spans="1:102" ht="15.75" customHeight="1" outlineLevel="1" x14ac:dyDescent="0.2">
      <c r="A102" s="442" t="s">
        <v>179</v>
      </c>
      <c r="B102" s="442"/>
      <c r="C102" s="390">
        <f>(24.5*C101)/((B87^2)-(B67^2))</f>
        <v>32.974069540777009</v>
      </c>
      <c r="D102" s="390" t="s">
        <v>434</v>
      </c>
      <c r="E102" s="388"/>
      <c r="F102" s="390" t="s">
        <v>434</v>
      </c>
    </row>
    <row r="103" spans="1:102" outlineLevel="1" x14ac:dyDescent="0.2">
      <c r="A103" s="442" t="s">
        <v>180</v>
      </c>
      <c r="B103" s="442"/>
      <c r="C103" s="390">
        <f>(24.5*C101)/((B87^2)-(B69^2))</f>
        <v>45.442389585883319</v>
      </c>
      <c r="D103" s="390" t="s">
        <v>434</v>
      </c>
      <c r="E103" s="390" t="s">
        <v>433</v>
      </c>
      <c r="F103" s="390" t="s">
        <v>434</v>
      </c>
    </row>
    <row r="104" spans="1:102" outlineLevel="1" x14ac:dyDescent="0.2">
      <c r="A104" s="442" t="s">
        <v>181</v>
      </c>
      <c r="B104" s="442"/>
      <c r="C104" s="390">
        <v>5085</v>
      </c>
      <c r="D104" s="390" t="s">
        <v>434</v>
      </c>
      <c r="E104" s="388">
        <f>C99</f>
        <v>5.75</v>
      </c>
      <c r="F104" s="390" t="s">
        <v>434</v>
      </c>
      <c r="I104" s="382">
        <f>C106+C107+C108+C109+C110</f>
        <v>214.38412555212616</v>
      </c>
      <c r="J104" s="390">
        <f>C95^1.86</f>
        <v>76025.884903032973</v>
      </c>
    </row>
    <row r="105" spans="1:102" outlineLevel="1" x14ac:dyDescent="0.2">
      <c r="A105" s="442" t="s">
        <v>182</v>
      </c>
      <c r="B105" s="442"/>
      <c r="C105" s="390" t="str">
        <f>IF(B83&lt;C104,"Possible","Impossible")</f>
        <v>Possible</v>
      </c>
      <c r="D105" s="390" t="s">
        <v>434</v>
      </c>
      <c r="F105" s="390" t="s">
        <v>434</v>
      </c>
      <c r="J105" s="390">
        <f>I104/J104</f>
        <v>2.8198833308624013E-3</v>
      </c>
    </row>
    <row r="106" spans="1:102" outlineLevel="1" x14ac:dyDescent="0.2">
      <c r="A106" s="442" t="s">
        <v>183</v>
      </c>
      <c r="B106" s="442"/>
      <c r="C106" s="390">
        <f>(B91*C89*((C101/100)^1.86))</f>
        <v>70.458560547787599</v>
      </c>
      <c r="D106" s="390" t="s">
        <v>434</v>
      </c>
      <c r="F106" s="390" t="s">
        <v>434</v>
      </c>
      <c r="I106" s="390">
        <v>1000</v>
      </c>
      <c r="J106" s="390">
        <f>I106/J105</f>
        <v>354624.60061926435</v>
      </c>
    </row>
    <row r="107" spans="1:102" outlineLevel="1" x14ac:dyDescent="0.2">
      <c r="A107" s="442" t="s">
        <v>184</v>
      </c>
      <c r="B107" s="442"/>
      <c r="C107" s="390">
        <f>(61*(10^-6)*C89*E69*(C101^1.86))/(C67^4.86)</f>
        <v>42.314458905284937</v>
      </c>
      <c r="D107" s="390" t="s">
        <v>434</v>
      </c>
      <c r="F107" s="390" t="s">
        <v>434</v>
      </c>
      <c r="J107" s="390">
        <f>J106^(1/1.86)</f>
        <v>963.26703651281935</v>
      </c>
    </row>
    <row r="108" spans="1:102" outlineLevel="1" x14ac:dyDescent="0.2">
      <c r="A108" s="442" t="s">
        <v>185</v>
      </c>
      <c r="B108" s="442"/>
      <c r="C108" s="390">
        <f>((61*(10^-6)*C89*E67*(C101^1.86)))/(C67^4.86)</f>
        <v>100.55192181601358</v>
      </c>
      <c r="D108" s="390" t="s">
        <v>434</v>
      </c>
      <c r="F108" s="390" t="s">
        <v>434</v>
      </c>
    </row>
    <row r="109" spans="1:102" outlineLevel="1" x14ac:dyDescent="0.2">
      <c r="A109" s="442" t="s">
        <v>186</v>
      </c>
      <c r="B109" s="442"/>
      <c r="C109" s="382">
        <f>(1.4327*(10^-7)*C89*E69*(C103^2))/(B87-B69)</f>
        <v>0.60822051855142645</v>
      </c>
      <c r="D109" s="390" t="s">
        <v>434</v>
      </c>
      <c r="F109" s="390" t="s">
        <v>434</v>
      </c>
      <c r="G109" s="382"/>
      <c r="K109" s="382"/>
    </row>
    <row r="110" spans="1:102" outlineLevel="1" x14ac:dyDescent="0.2">
      <c r="A110" s="442" t="s">
        <v>187</v>
      </c>
      <c r="B110" s="442"/>
      <c r="C110" s="382">
        <f>(1.4327*(10^-7)*C89*E67*(C102^2))/(B87-B67)</f>
        <v>0.45096376448863174</v>
      </c>
      <c r="D110" s="390" t="s">
        <v>434</v>
      </c>
      <c r="F110" s="390" t="s">
        <v>434</v>
      </c>
      <c r="G110" s="382"/>
      <c r="K110" s="382"/>
    </row>
    <row r="111" spans="1:102" outlineLevel="1" x14ac:dyDescent="0.2">
      <c r="A111" s="442" t="s">
        <v>188</v>
      </c>
      <c r="B111" s="442"/>
      <c r="C111" s="380">
        <f>C106+C107+C108+C109+C110</f>
        <v>214.38412555212616</v>
      </c>
      <c r="D111" s="390" t="s">
        <v>434</v>
      </c>
      <c r="F111" s="390" t="s">
        <v>434</v>
      </c>
      <c r="G111" s="380"/>
      <c r="K111" s="380"/>
    </row>
    <row r="112" spans="1:102" outlineLevel="1" x14ac:dyDescent="0.2">
      <c r="A112" s="443" t="s">
        <v>189</v>
      </c>
      <c r="B112" s="443"/>
      <c r="C112" s="380">
        <f>B83-C111</f>
        <v>2785.6158744478739</v>
      </c>
      <c r="D112" s="390" t="s">
        <v>434</v>
      </c>
      <c r="E112" s="391"/>
      <c r="F112" s="390" t="s">
        <v>434</v>
      </c>
      <c r="G112" s="380"/>
      <c r="I112" s="391"/>
      <c r="J112" s="391"/>
      <c r="K112" s="380"/>
    </row>
    <row r="113" spans="1:11" outlineLevel="1" x14ac:dyDescent="0.2">
      <c r="A113" s="443" t="s">
        <v>190</v>
      </c>
      <c r="B113" s="443"/>
      <c r="C113" s="390">
        <f>((C89*(C101^2))/(C112*10858))^(0.5)</f>
        <v>0.36125631870228569</v>
      </c>
      <c r="D113" s="390" t="s">
        <v>434</v>
      </c>
      <c r="E113" s="390" t="s">
        <v>235</v>
      </c>
      <c r="F113" s="390" t="s">
        <v>434</v>
      </c>
      <c r="I113" s="391"/>
      <c r="J113" s="391"/>
    </row>
    <row r="114" spans="1:11" outlineLevel="1" x14ac:dyDescent="0.2">
      <c r="A114" s="443" t="s">
        <v>190</v>
      </c>
      <c r="B114" s="443"/>
      <c r="C114" s="381">
        <f>IF(C113&lt;0.1129,0.1129,IF(C113&lt;0.1243,0.1243,IF(C113&lt;0.1358,0.1358,IF(C113&lt;0.1473,0.1473,IF(C113&lt;0.1603,0.1603,IF(C113&lt;0.1733,0.1733,IF(C113&lt;0.1864,0.1864,IF(C113&lt;0.201,0.201,IF(C113&lt;0.2155,0.2155,IF(C113&lt;0.231,0.231,IF(C113&lt;0.2462,0.2462,IF(C113&lt;0.2623,0.2623,IF(C113&lt;0.2784,0.2784,IF(C113&lt;0.2961,0.2961,IF(C113&lt;0.3137,0.3137,IF(C113&lt;0.3313,0.3313,IF(C113&lt;0.3505,0.3505,IF(C113&lt;0.3697,0.3697,IF(C113&lt;0.3889,0.3889,IF(C113&lt;0.4096,0.4096,IF(C113&lt;0.4303,0.4303,IF(C113&lt;0.451,0.451,IF(C113&lt;0.4732,0.4732,IF(C113&lt;0.4955,0.4955,IF(C113&lt;0.5177,0.5177,IF(C113&lt;0.5414,0.5414,IF(C113&lt;0.5653,0.5653,IF(C113&lt;0.589,0.589,IF(C113&lt;0.6412,0.6412,IF(C113&lt;0.6934,0.6934,IF(C113&lt;0.7455,0.7455,IF(C113&lt;0.8038,0.8038,IF(C113&lt;0.8621,0.8621,IF(C113&lt;0.9204,0.9204,IF(C113&lt;0.9848,0.9848,IF(C113&lt;1.0492,1.0492,IF(C113&lt;1.1137,1.1137,IF(C113&lt;1.1842,1.1842,IF(C113&lt;1.2548,1.2548,IF(C113&lt;1.3254,1.3254,IF(C113&lt;1.4021,1.4021,IF(C113&lt;1.4788,1.4788,IF(C113&lt;1.5555,1.5555)))))))))))))))))))))))))))))))))))))))))))</f>
        <v>0.36969999999999997</v>
      </c>
      <c r="D114" s="390" t="s">
        <v>434</v>
      </c>
      <c r="E114" s="390" t="str">
        <f>IF(C114=0.1129,"7/32,7/32,7/32",IF(C114=0.1243,"7/32,7/32,8/32",IF(C114=0.1358,"7/32,8/32,8/32",IF(C114=0.1473,"8/32,8/32,8/32",IF(C114=0.1603,"9/32,8/32,8/32",IF(C114=0.1733,"9/32,9/32,8/32",IF(C114=0.1864,"9/32,9/32,9/32",IF(C114=0.201,"9/32,9/32,10/32",IF(C114=0.2155,"10/32,10/32,9/32",IF(C114=0.231,"10/32,10/32,10/32",IF(C114=0.2462,"10/32,10/32,11/32",IF(C114=0.2623,"11/32,11/32,10/32",IF(C114=0.2784,"11/32,11/32,11/32",IF(C114=0.2961,"11/32,11/32,12/32",IF(C114=0.3137,"12/32,12/32,11/32",IF(C114=0.3313,"12/32,12/32,12/32",IF(C114=0.3505,"12/32,12/32,13/32",IF(C114=0.3697,"13/32,13/32,12/32",IF(C114=0.3889,"13/32,13/32,13/32",IF(C114=0.4096,"13/32,13/32,14/32",IF(C114=0.4303,"14/32,14/32,13/32",IF(C114=0.451,"14/32,14/32,14/32",IF(C114=0.4732,"14/32,14/32,15/32",IF(C114=0.4955,"15/32,15/32,14/32",IF(C114=0.5177, "15/32,15/32,15/32",IF(C114=0.5414, "15/32,15/32,16/32",IF(C114=0.5653, "16/32,16/32,15/32",IF(C114=0.589,"16/32,16/32,16/32",IF(C114=0.6412,"16/32,16/32,18/32",IF(C114=0.6934,"18/32,16/32,16/32",IF(C114=0.7455,"18/32,18/32,18/32",IF(C114=0.8038,"18/32,18/32,20/32",IF(C114=0.8621,"20/32,20/3218/32",IF(C114=0.9204,"20/32,20/32,20/32",IF(C114=0.9848,"20/32,20/32,22/32",IF(C114=1.0492,"20/32,22/32,22/32",IF(C114=1.1137,"22/32,22/32,22/32",IF(C114=1.1842,"22/32,22/32,24/32",IF(C114=1.2548,"24/32,24/32,22/32",IF(C114=1.3254,"24/32,24/32,24/32",IF(C114=1.4021,"24/32,24/32,26/32",IF(C114=1.4788,"26/32,26/32,24/32",IF(C114=1.5555,"26/32,26/32,26/32")))))))))))))))))))))))))))))))))))))))))))</f>
        <v>13/32,13/32,12/32</v>
      </c>
      <c r="F114" s="390" t="s">
        <v>434</v>
      </c>
      <c r="I114" s="391"/>
      <c r="J114" s="391"/>
    </row>
    <row r="115" spans="1:11" outlineLevel="1" x14ac:dyDescent="0.2">
      <c r="A115" s="442" t="s">
        <v>191</v>
      </c>
      <c r="B115" s="442"/>
      <c r="C115" s="390">
        <f>(C89*(C101^2))/((C114^2)*10858)</f>
        <v>2659.8260285820966</v>
      </c>
      <c r="D115" s="390" t="s">
        <v>434</v>
      </c>
      <c r="F115" s="390" t="s">
        <v>434</v>
      </c>
    </row>
    <row r="116" spans="1:11" outlineLevel="1" x14ac:dyDescent="0.2">
      <c r="A116" s="442" t="s">
        <v>192</v>
      </c>
      <c r="B116" s="442"/>
      <c r="C116" s="390">
        <f>((C112-C115)*E67)/(C108+C110)</f>
        <v>2443.4166289358413</v>
      </c>
      <c r="D116" s="390" t="s">
        <v>435</v>
      </c>
      <c r="E116" s="390" t="s">
        <v>435</v>
      </c>
      <c r="F116" s="390" t="s">
        <v>435</v>
      </c>
    </row>
    <row r="117" spans="1:11" outlineLevel="1" x14ac:dyDescent="0.2">
      <c r="A117" s="443" t="s">
        <v>193</v>
      </c>
      <c r="B117" s="443"/>
      <c r="C117" s="390">
        <f>E69+E67+C116</f>
        <v>5230.9841058182719</v>
      </c>
      <c r="E117" s="391"/>
      <c r="F117" s="391"/>
      <c r="I117" s="391"/>
      <c r="J117" s="391"/>
    </row>
    <row r="118" spans="1:11" outlineLevel="1" x14ac:dyDescent="0.2">
      <c r="A118" s="442" t="s">
        <v>194</v>
      </c>
      <c r="B118" s="442"/>
      <c r="C118" s="390">
        <f>(0.32086*C101)/(C114)</f>
        <v>386.34246514342732</v>
      </c>
      <c r="D118" s="390" t="s">
        <v>241</v>
      </c>
    </row>
    <row r="119" spans="1:11" outlineLevel="1" x14ac:dyDescent="0.2">
      <c r="A119" s="442" t="s">
        <v>195</v>
      </c>
      <c r="B119" s="442"/>
      <c r="C119" s="390">
        <f>(615*(10^-6)*C89*C101*C118)</f>
        <v>2106.896562013952</v>
      </c>
    </row>
    <row r="120" spans="1:11" outlineLevel="1" x14ac:dyDescent="0.2">
      <c r="A120" s="442" t="s">
        <v>196</v>
      </c>
      <c r="B120" s="442"/>
      <c r="C120" s="390">
        <f>(C101*C115)/1714</f>
        <v>690.79427878837203</v>
      </c>
    </row>
    <row r="121" spans="1:11" outlineLevel="1" x14ac:dyDescent="0.2">
      <c r="A121" s="443" t="s">
        <v>197</v>
      </c>
      <c r="B121" s="443"/>
      <c r="C121" s="390">
        <f>C120/(3.141592654*((B87^2)/4))</f>
        <v>2.4364171548900746</v>
      </c>
      <c r="D121" s="389" t="s">
        <v>242</v>
      </c>
      <c r="E121" s="391"/>
      <c r="F121" s="391"/>
      <c r="I121" s="391"/>
      <c r="J121" s="391"/>
    </row>
    <row r="122" spans="1:11" outlineLevel="1" x14ac:dyDescent="0.2">
      <c r="A122" s="443" t="s">
        <v>198</v>
      </c>
      <c r="B122" s="443"/>
      <c r="C122" s="390">
        <f>(C101*B83)/1714</f>
        <v>779.1422499425139</v>
      </c>
      <c r="E122" s="391"/>
      <c r="F122" s="391"/>
      <c r="I122" s="391"/>
      <c r="J122" s="391"/>
    </row>
    <row r="123" spans="1:11" outlineLevel="1" x14ac:dyDescent="0.2">
      <c r="A123" s="442" t="s">
        <v>199</v>
      </c>
      <c r="B123" s="442"/>
      <c r="C123" s="383">
        <f>C120/C122</f>
        <v>0.88660867619403227</v>
      </c>
      <c r="D123" s="390">
        <v>66</v>
      </c>
      <c r="G123" s="383"/>
      <c r="K123" s="383"/>
    </row>
    <row r="124" spans="1:11" x14ac:dyDescent="0.2">
      <c r="A124" s="390" t="s">
        <v>436</v>
      </c>
      <c r="B124" s="390" t="s">
        <v>435</v>
      </c>
      <c r="C124" s="390" t="s">
        <v>435</v>
      </c>
      <c r="D124" s="390" t="s">
        <v>435</v>
      </c>
      <c r="E124" s="390" t="s">
        <v>435</v>
      </c>
      <c r="F124" s="390" t="s">
        <v>435</v>
      </c>
    </row>
    <row r="125" spans="1:11" x14ac:dyDescent="0.2">
      <c r="A125" s="444" t="s">
        <v>416</v>
      </c>
      <c r="B125" s="444"/>
      <c r="C125" s="444"/>
      <c r="D125" s="444"/>
      <c r="E125" s="444"/>
      <c r="F125" s="444"/>
    </row>
    <row r="126" spans="1:11" ht="33.75" customHeight="1" x14ac:dyDescent="0.2">
      <c r="A126" s="444"/>
      <c r="B126" s="444"/>
      <c r="C126" s="444"/>
      <c r="D126" s="444"/>
      <c r="E126" s="444"/>
      <c r="F126" s="444"/>
    </row>
    <row r="127" spans="1:11" outlineLevel="1" x14ac:dyDescent="0.2"/>
    <row r="128" spans="1:11" outlineLevel="1" x14ac:dyDescent="0.2">
      <c r="A128" s="400" t="s">
        <v>134</v>
      </c>
      <c r="B128" s="391" t="s">
        <v>135</v>
      </c>
      <c r="C128" s="391" t="s">
        <v>136</v>
      </c>
      <c r="D128" s="391" t="s">
        <v>137</v>
      </c>
      <c r="E128" s="391" t="s">
        <v>138</v>
      </c>
      <c r="F128" s="391" t="s">
        <v>139</v>
      </c>
    </row>
    <row r="129" spans="1:5" outlineLevel="1" x14ac:dyDescent="0.2">
      <c r="A129" s="401" t="s">
        <v>140</v>
      </c>
      <c r="B129" s="385">
        <v>5</v>
      </c>
      <c r="C129" s="385">
        <v>4.2759999999999998</v>
      </c>
      <c r="D129" s="390">
        <v>3</v>
      </c>
      <c r="E129" s="382">
        <v>2414.1181139999999</v>
      </c>
    </row>
    <row r="130" spans="1:5" outlineLevel="1" x14ac:dyDescent="0.2">
      <c r="A130" s="400" t="s">
        <v>141</v>
      </c>
      <c r="B130" s="385"/>
      <c r="C130" s="385"/>
      <c r="D130" s="390" t="s">
        <v>142</v>
      </c>
    </row>
    <row r="131" spans="1:5" outlineLevel="1" x14ac:dyDescent="0.2">
      <c r="A131" s="401" t="s">
        <v>143</v>
      </c>
      <c r="B131" s="386">
        <v>11</v>
      </c>
      <c r="C131" s="386">
        <v>3</v>
      </c>
      <c r="E131" s="390">
        <f>'Systems Data'!L10</f>
        <v>825.62747688243064</v>
      </c>
    </row>
    <row r="132" spans="1:5" outlineLevel="1" x14ac:dyDescent="0.2">
      <c r="A132" s="400" t="s">
        <v>144</v>
      </c>
      <c r="B132" s="386"/>
      <c r="C132" s="386"/>
      <c r="E132" s="382">
        <f>E129</f>
        <v>2414.1181139999999</v>
      </c>
    </row>
    <row r="133" spans="1:5" outlineLevel="1" x14ac:dyDescent="0.2">
      <c r="A133" s="400" t="s">
        <v>145</v>
      </c>
      <c r="B133" s="385"/>
      <c r="C133" s="385"/>
    </row>
    <row r="134" spans="1:5" outlineLevel="1" x14ac:dyDescent="0.2">
      <c r="A134" s="400" t="s">
        <v>146</v>
      </c>
      <c r="B134" s="385"/>
      <c r="C134" s="385"/>
    </row>
    <row r="135" spans="1:5" outlineLevel="1" x14ac:dyDescent="0.2">
      <c r="A135" s="400" t="s">
        <v>147</v>
      </c>
      <c r="B135" s="385"/>
      <c r="C135" s="385"/>
    </row>
    <row r="136" spans="1:5" outlineLevel="1" x14ac:dyDescent="0.2">
      <c r="A136" s="400" t="s">
        <v>148</v>
      </c>
      <c r="B136" s="385"/>
      <c r="C136" s="385"/>
    </row>
    <row r="137" spans="1:5" outlineLevel="1" x14ac:dyDescent="0.2">
      <c r="A137" s="400" t="s">
        <v>149</v>
      </c>
    </row>
    <row r="138" spans="1:5" outlineLevel="1" x14ac:dyDescent="0.2">
      <c r="A138" s="400" t="s">
        <v>150</v>
      </c>
      <c r="B138" s="390" t="s">
        <v>151</v>
      </c>
      <c r="C138" s="390" t="s">
        <v>233</v>
      </c>
    </row>
    <row r="139" spans="1:5" outlineLevel="1" x14ac:dyDescent="0.2">
      <c r="A139" s="400" t="s">
        <v>152</v>
      </c>
      <c r="B139" s="405" t="s">
        <v>153</v>
      </c>
      <c r="C139" s="390">
        <v>1</v>
      </c>
    </row>
    <row r="140" spans="1:5" outlineLevel="1" x14ac:dyDescent="0.2">
      <c r="A140" s="400" t="s">
        <v>154</v>
      </c>
      <c r="B140" s="390">
        <v>12</v>
      </c>
    </row>
    <row r="141" spans="1:5" outlineLevel="1" x14ac:dyDescent="0.2">
      <c r="A141" s="400" t="s">
        <v>155</v>
      </c>
      <c r="B141" s="390">
        <v>120</v>
      </c>
    </row>
    <row r="142" spans="1:5" outlineLevel="1" x14ac:dyDescent="0.2">
      <c r="A142" s="400" t="s">
        <v>156</v>
      </c>
      <c r="B142" s="387">
        <v>0.85</v>
      </c>
      <c r="C142" s="387"/>
      <c r="D142" s="387"/>
    </row>
    <row r="143" spans="1:5" outlineLevel="1" x14ac:dyDescent="0.2">
      <c r="A143" s="400" t="s">
        <v>157</v>
      </c>
      <c r="B143" s="387">
        <v>1</v>
      </c>
      <c r="C143" s="387"/>
      <c r="D143" s="387"/>
    </row>
    <row r="144" spans="1:5" outlineLevel="1" x14ac:dyDescent="0.2">
      <c r="A144" s="400" t="s">
        <v>158</v>
      </c>
      <c r="B144" s="390">
        <v>110</v>
      </c>
    </row>
    <row r="145" spans="1:7" outlineLevel="1" x14ac:dyDescent="0.2">
      <c r="A145" s="402" t="s">
        <v>159</v>
      </c>
      <c r="B145" s="390">
        <v>3000</v>
      </c>
    </row>
    <row r="146" spans="1:7" outlineLevel="1" x14ac:dyDescent="0.2">
      <c r="A146" s="402" t="s">
        <v>160</v>
      </c>
      <c r="B146" s="390" t="s">
        <v>232</v>
      </c>
    </row>
    <row r="147" spans="1:7" outlineLevel="1" x14ac:dyDescent="0.2">
      <c r="A147" s="402" t="s">
        <v>161</v>
      </c>
    </row>
    <row r="148" spans="1:7" outlineLevel="1" x14ac:dyDescent="0.2">
      <c r="A148" s="400" t="s">
        <v>162</v>
      </c>
      <c r="B148" s="390" t="s">
        <v>136</v>
      </c>
      <c r="C148" s="390" t="s">
        <v>163</v>
      </c>
      <c r="D148" s="390" t="s">
        <v>164</v>
      </c>
      <c r="E148" s="390" t="s">
        <v>138</v>
      </c>
    </row>
    <row r="149" spans="1:7" outlineLevel="1" x14ac:dyDescent="0.2">
      <c r="A149" s="400"/>
      <c r="B149" s="385">
        <v>14.75</v>
      </c>
      <c r="C149" s="390">
        <v>0</v>
      </c>
      <c r="D149" s="382">
        <v>2414.1181139999999</v>
      </c>
      <c r="E149" s="390">
        <f>D149-C149</f>
        <v>2414.1181139999999</v>
      </c>
    </row>
    <row r="150" spans="1:7" outlineLevel="1" x14ac:dyDescent="0.2">
      <c r="A150" s="400" t="s">
        <v>165</v>
      </c>
      <c r="B150" s="390" t="s">
        <v>166</v>
      </c>
      <c r="C150" s="390" t="s">
        <v>167</v>
      </c>
      <c r="D150" s="390" t="s">
        <v>168</v>
      </c>
      <c r="E150" s="388" t="s">
        <v>169</v>
      </c>
    </row>
    <row r="151" spans="1:7" outlineLevel="1" x14ac:dyDescent="0.2">
      <c r="A151" s="400"/>
      <c r="C151" s="390">
        <v>9.5449999999999999</v>
      </c>
    </row>
    <row r="152" spans="1:7" outlineLevel="1" x14ac:dyDescent="0.2">
      <c r="A152" s="400" t="s">
        <v>170</v>
      </c>
      <c r="B152" s="390">
        <v>3</v>
      </c>
    </row>
    <row r="153" spans="1:7" outlineLevel="1" x14ac:dyDescent="0.2">
      <c r="A153" s="401" t="s">
        <v>171</v>
      </c>
      <c r="B153" s="390">
        <f>IF(D129=1,1,IF(D129=2,0.36,IF(D129=3,0.22,IF(D129=4,0.15))))</f>
        <v>0.22</v>
      </c>
    </row>
    <row r="154" spans="1:7" outlineLevel="1" x14ac:dyDescent="0.2">
      <c r="A154" s="399"/>
      <c r="B154" s="399"/>
      <c r="C154" s="399"/>
      <c r="D154" s="399"/>
      <c r="E154" s="399"/>
      <c r="F154" s="399"/>
      <c r="G154" s="399"/>
    </row>
    <row r="155" spans="1:7" outlineLevel="1" x14ac:dyDescent="0.2">
      <c r="A155" s="445"/>
      <c r="B155" s="445"/>
      <c r="C155" s="390" t="s">
        <v>234</v>
      </c>
    </row>
    <row r="156" spans="1:7" outlineLevel="1" x14ac:dyDescent="0.2">
      <c r="A156" s="442" t="s">
        <v>172</v>
      </c>
      <c r="B156" s="442"/>
      <c r="C156" s="380">
        <f>(11800)/(B149*C151)</f>
        <v>83.813514929282348</v>
      </c>
    </row>
    <row r="157" spans="1:7" outlineLevel="1" x14ac:dyDescent="0.2">
      <c r="A157" s="442" t="s">
        <v>173</v>
      </c>
      <c r="B157" s="442"/>
      <c r="C157" s="390">
        <f>((C156*((B149^2)-(B129^2)))/24.5)</f>
        <v>658.74857014571148</v>
      </c>
      <c r="D157" s="390">
        <f>((D156*((C149^2)-(C129^2)))/24.5)</f>
        <v>0</v>
      </c>
      <c r="F157" s="390">
        <f>(B143*B140*C139*B144*(7.25^2))/C159</f>
        <v>707.69583843329247</v>
      </c>
    </row>
    <row r="158" spans="1:7" outlineLevel="1" x14ac:dyDescent="0.2">
      <c r="A158" s="442" t="s">
        <v>174</v>
      </c>
      <c r="B158" s="442"/>
      <c r="C158" s="390">
        <f>C157/B144</f>
        <v>5.9886233649610139</v>
      </c>
    </row>
    <row r="159" spans="1:7" outlineLevel="1" x14ac:dyDescent="0.2">
      <c r="A159" s="442" t="s">
        <v>175</v>
      </c>
      <c r="B159" s="442"/>
      <c r="C159" s="390">
        <f>IF(B146="Triblex",98.04,73.53)</f>
        <v>98.04</v>
      </c>
    </row>
    <row r="160" spans="1:7" outlineLevel="1" x14ac:dyDescent="0.2">
      <c r="A160" s="442" t="s">
        <v>176</v>
      </c>
      <c r="B160" s="442"/>
      <c r="C160" s="390">
        <f>(((C158*C159)/(B143*B140*C139))+(B147/2))^(0.5)</f>
        <v>6.9947875515794964</v>
      </c>
      <c r="D160" s="390" t="s">
        <v>435</v>
      </c>
      <c r="E160" s="390" t="s">
        <v>435</v>
      </c>
      <c r="F160" s="390" t="s">
        <v>435</v>
      </c>
    </row>
    <row r="161" spans="1:10" outlineLevel="1" x14ac:dyDescent="0.2">
      <c r="A161" s="442" t="s">
        <v>176</v>
      </c>
      <c r="B161" s="442"/>
      <c r="C161" s="390">
        <f>IF(C160&lt;4.5,4.5,IF(C160&lt;4.75,4.75,IF(C160&lt;5,5,IF(C160&lt;5.25,5.25,IF(C160&lt;5.5,5.5,IF(C160&lt;5.75,5.75,IF(C160&lt;6,6,IF(C160&lt;6.25,6.25,IF(C160&lt;6.5,6.5,IF(C160&lt;6.75,6.75,IF(C160&lt;7,7,IF(C160&lt;7.25,7.25))))))))))))</f>
        <v>7</v>
      </c>
      <c r="D161" s="390" t="s">
        <v>434</v>
      </c>
      <c r="F161" s="390" t="s">
        <v>434</v>
      </c>
    </row>
    <row r="162" spans="1:10" outlineLevel="1" x14ac:dyDescent="0.2">
      <c r="A162" s="442" t="s">
        <v>177</v>
      </c>
      <c r="B162" s="442"/>
      <c r="C162" s="384">
        <f>(B143*B140*C139*(C161^2))/C159</f>
        <v>5.9975520195838428</v>
      </c>
      <c r="D162" s="390" t="s">
        <v>434</v>
      </c>
      <c r="E162" s="384" t="s">
        <v>440</v>
      </c>
      <c r="F162" s="390" t="s">
        <v>434</v>
      </c>
    </row>
    <row r="163" spans="1:10" ht="15" customHeight="1" outlineLevel="1" x14ac:dyDescent="0.2">
      <c r="A163" s="443" t="s">
        <v>178</v>
      </c>
      <c r="B163" s="443"/>
      <c r="C163" s="390">
        <f>C162*B144*C139</f>
        <v>659.73072215422269</v>
      </c>
      <c r="D163" s="390" t="s">
        <v>434</v>
      </c>
      <c r="E163" s="388">
        <f>C163/42</f>
        <v>15.707874337005302</v>
      </c>
      <c r="F163" s="390" t="s">
        <v>434</v>
      </c>
      <c r="G163" s="388"/>
    </row>
    <row r="164" spans="1:10" ht="15.75" customHeight="1" outlineLevel="1" x14ac:dyDescent="0.2">
      <c r="A164" s="442" t="s">
        <v>179</v>
      </c>
      <c r="B164" s="442"/>
      <c r="C164" s="390">
        <f>(24.5*C163)/((B149^2)-(B129^2))</f>
        <v>83.938475522380813</v>
      </c>
      <c r="D164" s="390" t="s">
        <v>434</v>
      </c>
      <c r="E164" s="388"/>
      <c r="F164" s="390" t="s">
        <v>434</v>
      </c>
      <c r="G164" s="388"/>
    </row>
    <row r="165" spans="1:10" outlineLevel="1" x14ac:dyDescent="0.2">
      <c r="A165" s="442" t="s">
        <v>180</v>
      </c>
      <c r="B165" s="442"/>
      <c r="C165" s="390">
        <f>(24.5*C163)/((B149^2)-(B131^2))</f>
        <v>167.38798905142738</v>
      </c>
      <c r="D165" s="390" t="s">
        <v>434</v>
      </c>
      <c r="E165" s="390" t="s">
        <v>433</v>
      </c>
      <c r="F165" s="390" t="s">
        <v>434</v>
      </c>
    </row>
    <row r="166" spans="1:10" outlineLevel="1" x14ac:dyDescent="0.2">
      <c r="A166" s="442" t="s">
        <v>181</v>
      </c>
      <c r="B166" s="442"/>
      <c r="C166" s="390">
        <v>5085</v>
      </c>
      <c r="D166" s="390" t="s">
        <v>434</v>
      </c>
      <c r="E166" s="388">
        <f>C161</f>
        <v>7</v>
      </c>
      <c r="F166" s="390" t="s">
        <v>434</v>
      </c>
      <c r="I166" s="382">
        <f>C168+C169+C170+C171+C172</f>
        <v>364.66109498765934</v>
      </c>
      <c r="J166" s="390">
        <f>C157^1.86</f>
        <v>174911.60106179598</v>
      </c>
    </row>
    <row r="167" spans="1:10" outlineLevel="1" x14ac:dyDescent="0.2">
      <c r="A167" s="442" t="s">
        <v>182</v>
      </c>
      <c r="B167" s="442"/>
      <c r="C167" s="390" t="str">
        <f>IF(B145&lt;C166,"Possible","Impossible")</f>
        <v>Possible</v>
      </c>
      <c r="D167" s="390" t="s">
        <v>434</v>
      </c>
      <c r="F167" s="390" t="s">
        <v>434</v>
      </c>
      <c r="J167" s="390">
        <f>I166/J166</f>
        <v>2.0848308103864717E-3</v>
      </c>
    </row>
    <row r="168" spans="1:10" outlineLevel="1" x14ac:dyDescent="0.2">
      <c r="A168" s="442" t="s">
        <v>183</v>
      </c>
      <c r="B168" s="442"/>
      <c r="C168" s="390">
        <f>(B153*C151*((C163/100)^1.86))</f>
        <v>70.181184144000682</v>
      </c>
      <c r="D168" s="390" t="s">
        <v>434</v>
      </c>
      <c r="F168" s="390" t="s">
        <v>434</v>
      </c>
      <c r="I168" s="390">
        <v>1000</v>
      </c>
      <c r="J168" s="390">
        <f>I168/J167</f>
        <v>479655.22910447913</v>
      </c>
    </row>
    <row r="169" spans="1:10" outlineLevel="1" x14ac:dyDescent="0.2">
      <c r="A169" s="442" t="s">
        <v>184</v>
      </c>
      <c r="B169" s="442"/>
      <c r="C169" s="382">
        <f>(61*(10^-6)*C151*E131*(C163^1.86))/(C129^4.86)</f>
        <v>72.288427654828325</v>
      </c>
      <c r="D169" s="390" t="s">
        <v>434</v>
      </c>
      <c r="F169" s="390" t="s">
        <v>434</v>
      </c>
      <c r="J169" s="390">
        <f>J168^(1/1.86)</f>
        <v>1133.0863345946823</v>
      </c>
    </row>
    <row r="170" spans="1:10" outlineLevel="1" x14ac:dyDescent="0.2">
      <c r="A170" s="442" t="s">
        <v>185</v>
      </c>
      <c r="B170" s="442"/>
      <c r="C170" s="390">
        <f>((61*(10^-6)*C151*E129*(C163^1.86)))/(C129^4.86)</f>
        <v>211.36990655042143</v>
      </c>
      <c r="D170" s="390" t="s">
        <v>434</v>
      </c>
      <c r="F170" s="390" t="s">
        <v>434</v>
      </c>
    </row>
    <row r="171" spans="1:10" outlineLevel="1" x14ac:dyDescent="0.2">
      <c r="A171" s="442" t="s">
        <v>186</v>
      </c>
      <c r="B171" s="442"/>
      <c r="C171" s="382">
        <f>(1.4327*(10^-7)*C151*E131*(C165^2))/(B149-B131)</f>
        <v>8.4359237878188758</v>
      </c>
      <c r="D171" s="390" t="s">
        <v>434</v>
      </c>
      <c r="F171" s="390" t="s">
        <v>434</v>
      </c>
    </row>
    <row r="172" spans="1:10" outlineLevel="1" x14ac:dyDescent="0.2">
      <c r="A172" s="442" t="s">
        <v>187</v>
      </c>
      <c r="B172" s="442"/>
      <c r="C172" s="382">
        <f>(1.4327*(10^-7)*C151*E129*(C164^2))/(B149-B129)</f>
        <v>2.3856528505900454</v>
      </c>
      <c r="D172" s="390" t="s">
        <v>434</v>
      </c>
      <c r="F172" s="390" t="s">
        <v>434</v>
      </c>
    </row>
    <row r="173" spans="1:10" outlineLevel="1" x14ac:dyDescent="0.2">
      <c r="A173" s="442" t="s">
        <v>188</v>
      </c>
      <c r="B173" s="442"/>
      <c r="C173" s="380">
        <f>C168+C169+C170+C171+C172</f>
        <v>364.66109498765934</v>
      </c>
      <c r="D173" s="390" t="s">
        <v>434</v>
      </c>
      <c r="F173" s="390" t="s">
        <v>434</v>
      </c>
    </row>
    <row r="174" spans="1:10" outlineLevel="1" x14ac:dyDescent="0.2">
      <c r="A174" s="443" t="s">
        <v>189</v>
      </c>
      <c r="B174" s="443"/>
      <c r="C174" s="380">
        <f>B145-C173</f>
        <v>2635.3389050123405</v>
      </c>
      <c r="D174" s="390" t="s">
        <v>434</v>
      </c>
      <c r="E174" s="391"/>
      <c r="F174" s="390" t="s">
        <v>434</v>
      </c>
    </row>
    <row r="175" spans="1:10" outlineLevel="1" x14ac:dyDescent="0.2">
      <c r="A175" s="443" t="s">
        <v>190</v>
      </c>
      <c r="B175" s="443"/>
      <c r="C175" s="390">
        <f>((C151*(C163^2))/(C174*10858))^(0.5)</f>
        <v>0.38103206079911806</v>
      </c>
      <c r="D175" s="390" t="s">
        <v>434</v>
      </c>
      <c r="E175" s="390" t="s">
        <v>235</v>
      </c>
      <c r="F175" s="390" t="s">
        <v>434</v>
      </c>
    </row>
    <row r="176" spans="1:10" outlineLevel="1" x14ac:dyDescent="0.2">
      <c r="A176" s="443" t="s">
        <v>190</v>
      </c>
      <c r="B176" s="443"/>
      <c r="C176" s="381">
        <f>IF(C175&lt;0.1129,0.1129,IF(C175&lt;0.1243,0.1243,IF(C175&lt;0.1358,0.1358,IF(C175&lt;0.1473,0.1473,IF(C175&lt;0.1603,0.1603,IF(C175&lt;0.1733,0.1733,IF(C175&lt;0.1864,0.1864,IF(C175&lt;0.201,0.201,IF(C175&lt;0.2155,0.2155,IF(C175&lt;0.231,0.231,IF(C175&lt;0.2462,0.2462,IF(C175&lt;0.2623,0.2623,IF(C175&lt;0.2784,0.2784,IF(C175&lt;0.2961,0.2961,IF(C175&lt;0.3137,0.3137,IF(C175&lt;0.3313,0.3313,IF(C175&lt;0.3505,0.3505,IF(C175&lt;0.3697,0.3697,IF(C175&lt;0.3889,0.3889,IF(C175&lt;0.4096,0.4096,IF(C175&lt;0.4303,0.4303,IF(C175&lt;0.451,0.451,IF(C175&lt;0.4732,0.4732,IF(C175&lt;0.4955,0.4955,IF(C175&lt;0.5177,0.5177,IF(C175&lt;0.5414,0.5414,IF(C175&lt;0.5653,0.5653,IF(C175&lt;0.589,0.589,IF(C175&lt;0.6412,0.6412,IF(C175&lt;0.6934,0.6934,IF(C175&lt;0.7455,0.7455,IF(C175&lt;0.8038,0.8038,IF(C175&lt;0.8621,0.8621,IF(C175&lt;0.9204,0.9204,IF(C175&lt;0.9848,0.9848,IF(C175&lt;1.0492,1.0492,IF(C175&lt;1.1137,1.1137,IF(C175&lt;1.1842,1.1842,IF(C175&lt;1.2548,1.2548,IF(C175&lt;1.3254,1.3254,IF(C175&lt;1.4021,1.4021,IF(C175&lt;1.4788,1.4788,IF(C175&lt;1.5555,1.5555)))))))))))))))))))))))))))))))))))))))))))</f>
        <v>0.38890000000000002</v>
      </c>
      <c r="D176" s="390" t="s">
        <v>434</v>
      </c>
      <c r="E176" s="390" t="str">
        <f>IF(C176=0.1129,"7/32,7/32,7/32",IF(C176=0.1243,"7/32,7/32,8/32",IF(C176=0.1358,"7/32,8/32,8/32",IF(C176=0.1473,"8/32,8/32,8/32",IF(C176=0.1603,"9/32,8/32,8/32",IF(C176=0.1733,"9/32,9/32,8/32",IF(C176=0.1864,"9/32,9/32,9/32",IF(C176=0.201,"9/32,9/32,10/32",IF(C176=0.2155,"10/32,10/32,9/32",IF(C176=0.231,"10/32,10/32,10/32",IF(C176=0.2462,"10/32,10/32,11/32",IF(C176=0.2623,"11/32,11/32,10/32",IF(C176=0.2784,"11/32,11/32,11/32",IF(C176=0.2961,"11/32,11/32,12/32",IF(C176=0.3137,"12/32,12/32,11/32",IF(C176=0.3313,"12/32,12/32,12/32",IF(C176=0.3505,"12/32,12/32,13/32",IF(C176=0.3697,"13/32,13/32,12/32",IF(C176=0.3889,"13/32,13/32,13/32",IF(C176=0.4096,"13/32,13/32,14/32",IF(C176=0.4303,"14/32,14/32,13/32",IF(C176=0.451,"14/32,14/32,14/32",IF(C176=0.4732,"14/32,14/32,15/32",IF(C176=0.4955,"15/32,15/32,14/32",IF(C176=0.5177, "15/32,15/32,15/32",IF(C176=0.5414, "15/32,15/32,16/32",IF(C176=0.5653, "16/32,16/32,15/32",IF(C176=0.589,"16/32,16/32,16/32",IF(C176=0.6412,"16/32,16/32,18/32",IF(C176=0.6934,"18/32,16/32,16/32",IF(C176=0.7455,"18/32,18/32,18/32",IF(C176=0.8038,"18/32,18/32,20/32",IF(C176=0.8621,"20/32,20/3218/32",IF(C176=0.9204,"20/32,20/32,20/32",IF(C176=0.9848,"20/32,20/32,22/32",IF(C176=1.0492,"20/32,22/32,22/32",IF(C176=1.1137,"22/32,22/32,22/32",IF(C176=1.1842,"22/32,22/32,24/32",IF(C176=1.2548,"24/32,24/32,22/32",IF(C176=1.3254,"24/32,24/32,24/32",IF(C176=1.4021,"24/32,24/32,26/32",IF(C176=1.4788,"26/32,26/32,24/32",IF(C176=1.5555,"26/32,26/32,26/32")))))))))))))))))))))))))))))))))))))))))))</f>
        <v>13/32,13/32,13/32</v>
      </c>
      <c r="F176" s="390" t="s">
        <v>434</v>
      </c>
    </row>
    <row r="177" spans="1:6" outlineLevel="1" x14ac:dyDescent="0.2">
      <c r="A177" s="442" t="s">
        <v>191</v>
      </c>
      <c r="B177" s="442"/>
      <c r="C177" s="390">
        <f>(C151*(C163^2))/((C176^2)*10858)</f>
        <v>2529.785077264849</v>
      </c>
      <c r="D177" s="390" t="s">
        <v>434</v>
      </c>
      <c r="F177" s="390" t="s">
        <v>434</v>
      </c>
    </row>
    <row r="178" spans="1:6" outlineLevel="1" x14ac:dyDescent="0.2">
      <c r="A178" s="442" t="s">
        <v>192</v>
      </c>
      <c r="B178" s="442"/>
      <c r="C178" s="390">
        <f>((C174-C177)*E129)/(C170+C172)</f>
        <v>1192.1065738889479</v>
      </c>
      <c r="D178" s="390" t="s">
        <v>435</v>
      </c>
      <c r="E178" s="390" t="s">
        <v>435</v>
      </c>
      <c r="F178" s="390" t="s">
        <v>435</v>
      </c>
    </row>
    <row r="179" spans="1:6" outlineLevel="1" x14ac:dyDescent="0.2">
      <c r="A179" s="443" t="s">
        <v>193</v>
      </c>
      <c r="B179" s="443"/>
      <c r="C179" s="390">
        <f>E131+E129+C178</f>
        <v>4431.8521647713787</v>
      </c>
      <c r="E179" s="391"/>
      <c r="F179" s="391"/>
    </row>
    <row r="180" spans="1:6" outlineLevel="1" x14ac:dyDescent="0.2">
      <c r="A180" s="442" t="s">
        <v>194</v>
      </c>
      <c r="B180" s="442"/>
      <c r="C180" s="390">
        <f>(0.32086*C163)/(C176)</f>
        <v>544.30753281152954</v>
      </c>
      <c r="D180" s="390" t="s">
        <v>241</v>
      </c>
    </row>
    <row r="181" spans="1:6" outlineLevel="1" x14ac:dyDescent="0.2">
      <c r="A181" s="442" t="s">
        <v>195</v>
      </c>
      <c r="B181" s="442"/>
      <c r="C181" s="390">
        <f>(615*(10^-6)*C151*C163*C180)</f>
        <v>2107.9587198242534</v>
      </c>
    </row>
    <row r="182" spans="1:6" outlineLevel="1" x14ac:dyDescent="0.2">
      <c r="A182" s="442" t="s">
        <v>196</v>
      </c>
      <c r="B182" s="442"/>
      <c r="C182" s="390">
        <f>(C163*C177)/1714</f>
        <v>973.73216798069711</v>
      </c>
    </row>
    <row r="183" spans="1:6" outlineLevel="1" x14ac:dyDescent="0.2">
      <c r="A183" s="443" t="s">
        <v>197</v>
      </c>
      <c r="B183" s="443"/>
      <c r="C183" s="390">
        <f>C182/(3.141592654*((B149^2)/4))</f>
        <v>5.6985661687645717</v>
      </c>
      <c r="D183" s="389" t="s">
        <v>242</v>
      </c>
      <c r="E183" s="391"/>
      <c r="F183" s="391"/>
    </row>
    <row r="184" spans="1:6" outlineLevel="1" x14ac:dyDescent="0.2">
      <c r="A184" s="443" t="s">
        <v>198</v>
      </c>
      <c r="B184" s="443"/>
      <c r="C184" s="390">
        <f>(C163*B145)/1714</f>
        <v>1154.7212173061073</v>
      </c>
      <c r="E184" s="391"/>
      <c r="F184" s="391"/>
    </row>
    <row r="185" spans="1:6" outlineLevel="1" x14ac:dyDescent="0.2">
      <c r="A185" s="442" t="s">
        <v>199</v>
      </c>
      <c r="B185" s="442"/>
      <c r="C185" s="383">
        <f>C182/C184</f>
        <v>0.84326169242161642</v>
      </c>
      <c r="D185" s="390">
        <v>66</v>
      </c>
    </row>
    <row r="186" spans="1:6" x14ac:dyDescent="0.2">
      <c r="A186" s="390" t="s">
        <v>436</v>
      </c>
      <c r="B186" s="390" t="s">
        <v>435</v>
      </c>
      <c r="C186" s="390" t="s">
        <v>435</v>
      </c>
      <c r="D186" s="390" t="s">
        <v>435</v>
      </c>
      <c r="E186" s="390" t="s">
        <v>435</v>
      </c>
      <c r="F186" s="390" t="s">
        <v>435</v>
      </c>
    </row>
    <row r="187" spans="1:6" x14ac:dyDescent="0.2">
      <c r="A187" s="444" t="s">
        <v>417</v>
      </c>
      <c r="B187" s="444"/>
      <c r="C187" s="444"/>
      <c r="D187" s="444"/>
      <c r="E187" s="444"/>
      <c r="F187" s="444"/>
    </row>
    <row r="188" spans="1:6" ht="37.5" customHeight="1" x14ac:dyDescent="0.2">
      <c r="A188" s="444"/>
      <c r="B188" s="444"/>
      <c r="C188" s="444"/>
      <c r="D188" s="444"/>
      <c r="E188" s="444"/>
      <c r="F188" s="444"/>
    </row>
    <row r="189" spans="1:6" outlineLevel="1" x14ac:dyDescent="0.2"/>
    <row r="190" spans="1:6" outlineLevel="1" x14ac:dyDescent="0.2">
      <c r="A190" s="400" t="s">
        <v>134</v>
      </c>
      <c r="B190" s="391" t="s">
        <v>135</v>
      </c>
      <c r="C190" s="391" t="s">
        <v>136</v>
      </c>
      <c r="D190" s="391" t="s">
        <v>137</v>
      </c>
      <c r="E190" s="391" t="s">
        <v>138</v>
      </c>
      <c r="F190" s="391" t="s">
        <v>139</v>
      </c>
    </row>
    <row r="191" spans="1:6" outlineLevel="1" x14ac:dyDescent="0.2">
      <c r="A191" s="401" t="s">
        <v>140</v>
      </c>
      <c r="B191" s="385">
        <v>5</v>
      </c>
      <c r="C191" s="385">
        <v>4.2759999999999998</v>
      </c>
      <c r="D191" s="390">
        <v>3</v>
      </c>
      <c r="E191" s="382">
        <v>2849.89</v>
      </c>
    </row>
    <row r="192" spans="1:6" outlineLevel="1" x14ac:dyDescent="0.2">
      <c r="A192" s="400" t="s">
        <v>141</v>
      </c>
      <c r="B192" s="385"/>
      <c r="C192" s="385"/>
      <c r="D192" s="390" t="s">
        <v>142</v>
      </c>
    </row>
    <row r="193" spans="1:5" outlineLevel="1" x14ac:dyDescent="0.2">
      <c r="A193" s="401" t="s">
        <v>143</v>
      </c>
      <c r="B193" s="386">
        <v>8.75</v>
      </c>
      <c r="C193" s="386">
        <v>2</v>
      </c>
      <c r="E193" s="382">
        <f>'Systems Data'!L10</f>
        <v>825.62747688243064</v>
      </c>
    </row>
    <row r="194" spans="1:5" outlineLevel="1" x14ac:dyDescent="0.2">
      <c r="A194" s="400" t="s">
        <v>144</v>
      </c>
      <c r="B194" s="386"/>
      <c r="C194" s="386"/>
      <c r="E194" s="382">
        <f>E191</f>
        <v>2849.89</v>
      </c>
    </row>
    <row r="195" spans="1:5" outlineLevel="1" x14ac:dyDescent="0.2">
      <c r="A195" s="400" t="s">
        <v>145</v>
      </c>
      <c r="B195" s="385"/>
      <c r="C195" s="385"/>
    </row>
    <row r="196" spans="1:5" outlineLevel="1" x14ac:dyDescent="0.2">
      <c r="A196" s="400" t="s">
        <v>146</v>
      </c>
      <c r="B196" s="385"/>
      <c r="C196" s="385"/>
    </row>
    <row r="197" spans="1:5" outlineLevel="1" x14ac:dyDescent="0.2">
      <c r="A197" s="400" t="s">
        <v>147</v>
      </c>
      <c r="B197" s="385"/>
      <c r="C197" s="385"/>
    </row>
    <row r="198" spans="1:5" outlineLevel="1" x14ac:dyDescent="0.2">
      <c r="A198" s="400" t="s">
        <v>148</v>
      </c>
      <c r="B198" s="385"/>
      <c r="C198" s="385"/>
    </row>
    <row r="199" spans="1:5" outlineLevel="1" x14ac:dyDescent="0.2">
      <c r="A199" s="400" t="s">
        <v>149</v>
      </c>
    </row>
    <row r="200" spans="1:5" outlineLevel="1" x14ac:dyDescent="0.2">
      <c r="A200" s="400" t="s">
        <v>150</v>
      </c>
      <c r="B200" s="390" t="s">
        <v>151</v>
      </c>
      <c r="C200" s="390" t="s">
        <v>233</v>
      </c>
    </row>
    <row r="201" spans="1:5" outlineLevel="1" x14ac:dyDescent="0.2">
      <c r="A201" s="400" t="s">
        <v>152</v>
      </c>
      <c r="B201" s="405" t="s">
        <v>153</v>
      </c>
      <c r="C201" s="390">
        <v>1</v>
      </c>
    </row>
    <row r="202" spans="1:5" outlineLevel="1" x14ac:dyDescent="0.2">
      <c r="A202" s="400" t="s">
        <v>154</v>
      </c>
      <c r="B202" s="390">
        <v>12</v>
      </c>
    </row>
    <row r="203" spans="1:5" outlineLevel="1" x14ac:dyDescent="0.2">
      <c r="A203" s="400" t="s">
        <v>155</v>
      </c>
      <c r="B203" s="390">
        <v>120</v>
      </c>
    </row>
    <row r="204" spans="1:5" outlineLevel="1" x14ac:dyDescent="0.2">
      <c r="A204" s="400" t="s">
        <v>156</v>
      </c>
      <c r="B204" s="387">
        <v>0.85</v>
      </c>
      <c r="C204" s="387"/>
      <c r="D204" s="387"/>
    </row>
    <row r="205" spans="1:5" outlineLevel="1" x14ac:dyDescent="0.2">
      <c r="A205" s="400" t="s">
        <v>157</v>
      </c>
      <c r="B205" s="387">
        <v>1</v>
      </c>
      <c r="C205" s="387"/>
      <c r="D205" s="387"/>
    </row>
    <row r="206" spans="1:5" outlineLevel="1" x14ac:dyDescent="0.2">
      <c r="A206" s="400" t="s">
        <v>158</v>
      </c>
      <c r="B206" s="390">
        <v>110</v>
      </c>
    </row>
    <row r="207" spans="1:5" outlineLevel="1" x14ac:dyDescent="0.2">
      <c r="A207" s="402" t="s">
        <v>159</v>
      </c>
      <c r="B207" s="390">
        <v>3000</v>
      </c>
    </row>
    <row r="208" spans="1:5" outlineLevel="1" x14ac:dyDescent="0.2">
      <c r="A208" s="402" t="s">
        <v>160</v>
      </c>
      <c r="B208" s="390" t="s">
        <v>232</v>
      </c>
    </row>
    <row r="209" spans="1:7" outlineLevel="1" x14ac:dyDescent="0.2">
      <c r="A209" s="402" t="s">
        <v>161</v>
      </c>
    </row>
    <row r="210" spans="1:7" outlineLevel="1" x14ac:dyDescent="0.2">
      <c r="A210" s="400" t="s">
        <v>162</v>
      </c>
      <c r="B210" s="390" t="s">
        <v>136</v>
      </c>
      <c r="C210" s="390" t="s">
        <v>163</v>
      </c>
      <c r="D210" s="390" t="s">
        <v>164</v>
      </c>
      <c r="E210" s="390" t="s">
        <v>138</v>
      </c>
    </row>
    <row r="211" spans="1:7" outlineLevel="1" x14ac:dyDescent="0.2">
      <c r="A211" s="400"/>
      <c r="B211" s="385">
        <v>12.25</v>
      </c>
      <c r="C211" s="390">
        <v>0</v>
      </c>
      <c r="D211" s="382">
        <v>2849.89</v>
      </c>
      <c r="E211" s="382">
        <f>D211-C211</f>
        <v>2849.89</v>
      </c>
    </row>
    <row r="212" spans="1:7" outlineLevel="1" x14ac:dyDescent="0.2">
      <c r="A212" s="400" t="s">
        <v>165</v>
      </c>
      <c r="B212" s="390" t="s">
        <v>166</v>
      </c>
      <c r="C212" s="390" t="s">
        <v>167</v>
      </c>
      <c r="D212" s="390" t="s">
        <v>168</v>
      </c>
      <c r="E212" s="388" t="s">
        <v>169</v>
      </c>
    </row>
    <row r="213" spans="1:7" outlineLevel="1" x14ac:dyDescent="0.2">
      <c r="A213" s="400"/>
      <c r="C213" s="390">
        <v>13.28</v>
      </c>
    </row>
    <row r="214" spans="1:7" outlineLevel="1" x14ac:dyDescent="0.2">
      <c r="A214" s="400" t="s">
        <v>170</v>
      </c>
      <c r="B214" s="390">
        <v>3</v>
      </c>
    </row>
    <row r="215" spans="1:7" outlineLevel="1" x14ac:dyDescent="0.2">
      <c r="A215" s="401" t="s">
        <v>171</v>
      </c>
      <c r="B215" s="390">
        <f>IF(D191=1,1,IF(D191=2,0.36,IF(D191=3,0.22,IF(D191=4,0.15))))</f>
        <v>0.22</v>
      </c>
    </row>
    <row r="216" spans="1:7" outlineLevel="1" x14ac:dyDescent="0.2">
      <c r="A216" s="399"/>
      <c r="B216" s="399"/>
      <c r="C216" s="399"/>
      <c r="D216" s="399"/>
      <c r="E216" s="399"/>
      <c r="F216" s="399"/>
      <c r="G216" s="399"/>
    </row>
    <row r="217" spans="1:7" outlineLevel="1" x14ac:dyDescent="0.2">
      <c r="A217" s="445"/>
      <c r="B217" s="445"/>
      <c r="C217" s="390" t="s">
        <v>234</v>
      </c>
    </row>
    <row r="218" spans="1:7" outlineLevel="1" x14ac:dyDescent="0.2">
      <c r="A218" s="442" t="s">
        <v>172</v>
      </c>
      <c r="B218" s="442"/>
      <c r="C218" s="380">
        <f>(11800)/(B211*C213)</f>
        <v>72.5350381116302</v>
      </c>
    </row>
    <row r="219" spans="1:7" outlineLevel="1" x14ac:dyDescent="0.2">
      <c r="A219" s="442" t="s">
        <v>173</v>
      </c>
      <c r="B219" s="442"/>
      <c r="C219" s="390">
        <f>((C218*((B211^2)-(B191^2)))/24.5)</f>
        <v>370.26176342186739</v>
      </c>
      <c r="D219" s="390">
        <f>((D218*((C211^2)-(C191^2)))/24.5)</f>
        <v>0</v>
      </c>
      <c r="F219" s="390">
        <f>(B205*B202*C201*B206*(7.25^2))/C221</f>
        <v>707.69583843329247</v>
      </c>
    </row>
    <row r="220" spans="1:7" outlineLevel="1" x14ac:dyDescent="0.2">
      <c r="A220" s="442" t="s">
        <v>174</v>
      </c>
      <c r="B220" s="442"/>
      <c r="C220" s="390">
        <f>C219/B206</f>
        <v>3.3660160311078853</v>
      </c>
    </row>
    <row r="221" spans="1:7" outlineLevel="1" x14ac:dyDescent="0.2">
      <c r="A221" s="442" t="s">
        <v>175</v>
      </c>
      <c r="B221" s="442"/>
      <c r="C221" s="390">
        <f>IF(B208="Triblex",98.04,73.53)</f>
        <v>98.04</v>
      </c>
    </row>
    <row r="222" spans="1:7" outlineLevel="1" x14ac:dyDescent="0.2">
      <c r="A222" s="442" t="s">
        <v>176</v>
      </c>
      <c r="B222" s="442"/>
      <c r="C222" s="390">
        <f>(((C220*C221)/(B205*B202*C201))+(B209/2))^(0.5)</f>
        <v>5.244077704816303</v>
      </c>
      <c r="D222" s="390" t="s">
        <v>435</v>
      </c>
      <c r="E222" s="390" t="s">
        <v>435</v>
      </c>
      <c r="F222" s="390" t="s">
        <v>435</v>
      </c>
    </row>
    <row r="223" spans="1:7" outlineLevel="1" x14ac:dyDescent="0.2">
      <c r="A223" s="442" t="s">
        <v>176</v>
      </c>
      <c r="B223" s="442"/>
      <c r="C223" s="390">
        <f>IF(C222&lt;4.5,4.5,IF(C222&lt;4.75,4.75,IF(C222&lt;5,5,IF(C222&lt;5.25,5.25,IF(C222&lt;5.5,5.5,IF(C222&lt;5.75,5.75,IF(C222&lt;6,6,IF(C222&lt;6.25,6.25,IF(C222&lt;6.5,6.5,IF(C222&lt;6.75,6.75,IF(C222&lt;7,7,IF(C222&lt;7.25,7.25))))))))))))</f>
        <v>5.25</v>
      </c>
      <c r="D223" s="390" t="s">
        <v>434</v>
      </c>
      <c r="F223" s="390" t="s">
        <v>434</v>
      </c>
    </row>
    <row r="224" spans="1:7" outlineLevel="1" x14ac:dyDescent="0.2">
      <c r="A224" s="442" t="s">
        <v>177</v>
      </c>
      <c r="B224" s="442"/>
      <c r="C224" s="384">
        <f>(B205*B202*C201*(C223^2))/C221</f>
        <v>3.3736230110159116</v>
      </c>
      <c r="D224" s="390" t="s">
        <v>434</v>
      </c>
      <c r="E224" s="384" t="s">
        <v>440</v>
      </c>
      <c r="F224" s="390" t="s">
        <v>434</v>
      </c>
    </row>
    <row r="225" spans="1:10" ht="15" customHeight="1" outlineLevel="1" x14ac:dyDescent="0.2">
      <c r="A225" s="443" t="s">
        <v>178</v>
      </c>
      <c r="B225" s="443"/>
      <c r="C225" s="390">
        <f>C224*B206*C201</f>
        <v>371.0985312117503</v>
      </c>
      <c r="D225" s="390" t="s">
        <v>434</v>
      </c>
      <c r="E225" s="388">
        <f>C225/42</f>
        <v>8.8356793145654837</v>
      </c>
      <c r="F225" s="390" t="s">
        <v>434</v>
      </c>
      <c r="G225" s="388"/>
    </row>
    <row r="226" spans="1:10" ht="15.75" customHeight="1" outlineLevel="1" x14ac:dyDescent="0.2">
      <c r="A226" s="442" t="s">
        <v>179</v>
      </c>
      <c r="B226" s="442"/>
      <c r="C226" s="390">
        <f>(24.5*C225)/((B211^2)-(B191^2))</f>
        <v>72.698962636184959</v>
      </c>
      <c r="D226" s="390" t="s">
        <v>434</v>
      </c>
      <c r="E226" s="388"/>
      <c r="F226" s="390" t="s">
        <v>434</v>
      </c>
      <c r="G226" s="388"/>
    </row>
    <row r="227" spans="1:10" outlineLevel="1" x14ac:dyDescent="0.2">
      <c r="A227" s="442" t="s">
        <v>180</v>
      </c>
      <c r="B227" s="442"/>
      <c r="C227" s="390">
        <f>(24.5*C225)/((B211^2)-(B193^2))</f>
        <v>123.69951040391676</v>
      </c>
      <c r="D227" s="390" t="s">
        <v>434</v>
      </c>
      <c r="E227" s="390" t="s">
        <v>433</v>
      </c>
      <c r="F227" s="390" t="s">
        <v>434</v>
      </c>
    </row>
    <row r="228" spans="1:10" outlineLevel="1" x14ac:dyDescent="0.2">
      <c r="A228" s="442" t="s">
        <v>181</v>
      </c>
      <c r="B228" s="442"/>
      <c r="C228" s="390">
        <v>5085</v>
      </c>
      <c r="D228" s="390" t="s">
        <v>434</v>
      </c>
      <c r="E228" s="388">
        <f>C223</f>
        <v>5.25</v>
      </c>
      <c r="F228" s="390" t="s">
        <v>434</v>
      </c>
      <c r="I228" s="382">
        <f>C230+C231+C232+C233+C234</f>
        <v>197.85812209658008</v>
      </c>
      <c r="J228" s="390">
        <f>C219^1.86</f>
        <v>59899.954052125977</v>
      </c>
    </row>
    <row r="229" spans="1:10" outlineLevel="1" x14ac:dyDescent="0.2">
      <c r="A229" s="442" t="s">
        <v>182</v>
      </c>
      <c r="B229" s="442"/>
      <c r="C229" s="390" t="str">
        <f>IF(B207&lt;C228,"Possible","Impossible")</f>
        <v>Possible</v>
      </c>
      <c r="D229" s="390" t="s">
        <v>434</v>
      </c>
      <c r="F229" s="390" t="s">
        <v>434</v>
      </c>
      <c r="J229" s="390">
        <f>I228/J228</f>
        <v>3.3031431363770413E-3</v>
      </c>
    </row>
    <row r="230" spans="1:10" outlineLevel="1" x14ac:dyDescent="0.2">
      <c r="A230" s="442" t="s">
        <v>183</v>
      </c>
      <c r="B230" s="442"/>
      <c r="C230" s="390">
        <f>(B215*C213*((C225/100)^1.86))</f>
        <v>33.486575270431651</v>
      </c>
      <c r="D230" s="390" t="s">
        <v>434</v>
      </c>
      <c r="F230" s="390" t="s">
        <v>434</v>
      </c>
      <c r="I230" s="390">
        <v>1000</v>
      </c>
      <c r="J230" s="390">
        <f>I230/J229</f>
        <v>302741.95174503443</v>
      </c>
    </row>
    <row r="231" spans="1:10" outlineLevel="1" x14ac:dyDescent="0.2">
      <c r="A231" s="442" t="s">
        <v>184</v>
      </c>
      <c r="B231" s="442"/>
      <c r="C231" s="390">
        <f>(61*(10^-6)*C213*E193*(C225^1.86))/(C191^4.86)</f>
        <v>34.492035199601148</v>
      </c>
      <c r="D231" s="390" t="s">
        <v>434</v>
      </c>
      <c r="F231" s="390" t="s">
        <v>434</v>
      </c>
      <c r="J231" s="390">
        <f>J230^(1/1.86)</f>
        <v>884.73504284307296</v>
      </c>
    </row>
    <row r="232" spans="1:10" outlineLevel="1" x14ac:dyDescent="0.2">
      <c r="A232" s="442" t="s">
        <v>185</v>
      </c>
      <c r="B232" s="442"/>
      <c r="C232" s="392">
        <f>((61*(10^-6)*C213*E191*(C225^1.86)))/(C191^4.86)</f>
        <v>119.05915070337349</v>
      </c>
      <c r="D232" s="390" t="s">
        <v>434</v>
      </c>
      <c r="F232" s="390" t="s">
        <v>434</v>
      </c>
    </row>
    <row r="233" spans="1:10" outlineLevel="1" x14ac:dyDescent="0.2">
      <c r="A233" s="442" t="s">
        <v>186</v>
      </c>
      <c r="B233" s="442"/>
      <c r="C233" s="382">
        <f>(1.4327*(10^-7)*C213*E193*(C227^2))/(B211-B193)</f>
        <v>6.8676063078308571</v>
      </c>
      <c r="D233" s="390" t="s">
        <v>434</v>
      </c>
      <c r="F233" s="390" t="s">
        <v>434</v>
      </c>
    </row>
    <row r="234" spans="1:10" outlineLevel="1" x14ac:dyDescent="0.2">
      <c r="A234" s="442" t="s">
        <v>187</v>
      </c>
      <c r="B234" s="442"/>
      <c r="C234" s="382">
        <f>(1.4327*(10^-7)*C213*E191*(C226^2))/(B211-B191)</f>
        <v>3.9527546153429194</v>
      </c>
      <c r="D234" s="390" t="s">
        <v>434</v>
      </c>
      <c r="F234" s="390" t="s">
        <v>434</v>
      </c>
    </row>
    <row r="235" spans="1:10" outlineLevel="1" x14ac:dyDescent="0.2">
      <c r="A235" s="442" t="s">
        <v>188</v>
      </c>
      <c r="B235" s="442"/>
      <c r="C235" s="380">
        <f>C230+C231+C232+C233+C234</f>
        <v>197.85812209658008</v>
      </c>
      <c r="D235" s="390" t="s">
        <v>434</v>
      </c>
      <c r="F235" s="390" t="s">
        <v>434</v>
      </c>
    </row>
    <row r="236" spans="1:10" outlineLevel="1" x14ac:dyDescent="0.2">
      <c r="A236" s="443" t="s">
        <v>189</v>
      </c>
      <c r="B236" s="443"/>
      <c r="C236" s="380">
        <f>B207-C235</f>
        <v>2802.1418779034198</v>
      </c>
      <c r="D236" s="390" t="s">
        <v>434</v>
      </c>
      <c r="E236" s="391"/>
      <c r="F236" s="390" t="s">
        <v>434</v>
      </c>
    </row>
    <row r="237" spans="1:10" outlineLevel="1" x14ac:dyDescent="0.2">
      <c r="A237" s="443" t="s">
        <v>190</v>
      </c>
      <c r="B237" s="443"/>
      <c r="C237" s="390">
        <f>((C213*(C225^2))/(C236*10858))^(0.5)</f>
        <v>0.24517054583813583</v>
      </c>
      <c r="D237" s="390" t="s">
        <v>434</v>
      </c>
      <c r="E237" s="390" t="s">
        <v>235</v>
      </c>
      <c r="F237" s="390" t="s">
        <v>434</v>
      </c>
    </row>
    <row r="238" spans="1:10" outlineLevel="1" x14ac:dyDescent="0.2">
      <c r="A238" s="443" t="s">
        <v>190</v>
      </c>
      <c r="B238" s="443"/>
      <c r="C238" s="381">
        <f>IF(C237&lt;0.1129,0.1129,IF(C237&lt;0.1243,0.1243,IF(C237&lt;0.1358,0.1358,IF(C237&lt;0.1473,0.1473,IF(C237&lt;0.1603,0.1603,IF(C237&lt;0.1733,0.1733,IF(C237&lt;0.1864,0.1864,IF(C237&lt;0.201,0.201,IF(C237&lt;0.2155,0.2155,IF(C237&lt;0.231,0.231,IF(C237&lt;0.2462,0.2462,IF(C237&lt;0.2623,0.2623,IF(C237&lt;0.2784,0.2784,IF(C237&lt;0.2961,0.2961,IF(C237&lt;0.3137,0.3137,IF(C237&lt;0.3313,0.3313,IF(C237&lt;0.3505,0.3505,IF(C237&lt;0.3697,0.3697,IF(C237&lt;0.3889,0.3889,IF(C237&lt;0.4096,0.4096,IF(C237&lt;0.4303,0.4303,IF(C237&lt;0.451,0.451,IF(C237&lt;0.4732,0.4732,IF(C237&lt;0.4955,0.4955,IF(C237&lt;0.5177,0.5177,IF(C237&lt;0.5414,0.5414,IF(C237&lt;0.5653,0.5653,IF(C237&lt;0.589,0.589,IF(C237&lt;0.6412,0.6412,IF(C237&lt;0.6934,0.6934,IF(C237&lt;0.7455,0.7455,IF(C237&lt;0.8038,0.8038,IF(C237&lt;0.8621,0.8621,IF(C237&lt;0.9204,0.9204,IF(C237&lt;0.9848,0.9848,IF(C237&lt;1.0492,1.0492,IF(C237&lt;1.1137,1.1137,IF(C237&lt;1.1842,1.1842,IF(C237&lt;1.2548,1.2548,IF(C237&lt;1.3254,1.3254,IF(C237&lt;1.4021,1.4021,IF(C237&lt;1.4788,1.4788,IF(C237&lt;1.5555,1.5555)))))))))))))))))))))))))))))))))))))))))))</f>
        <v>0.2462</v>
      </c>
      <c r="D238" s="390" t="s">
        <v>434</v>
      </c>
      <c r="E238" s="390" t="str">
        <f>IF(C238=0.1129,"7/32,7/32,7/32",IF(C238=0.1243,"7/32,7/32,8/32",IF(C238=0.1358,"7/32,8/32,8/32",IF(C238=0.1473,"8/32,8/32,8/32",IF(C238=0.1603,"9/32,8/32,8/32",IF(C238=0.1733,"9/32,9/32,8/32",IF(C238=0.1864,"9/32,9/32,9/32",IF(C238=0.201,"9/32,9/32,10/32",IF(C238=0.2155,"10/32,10/32,9/32",IF(C238=0.231,"10/32,10/32,10/32",IF(C238=0.2462,"10/32,10/32,11/32",IF(C238=0.2623,"11/32,11/32,10/32",IF(C238=0.2784,"11/32,11/32,11/32",IF(C238=0.2961,"11/32,11/32,12/32",IF(C238=0.3137,"12/32,12/32,11/32",IF(C238=0.3313,"12/32,12/32,12/32",IF(C238=0.3505,"12/32,12/32,13/32",IF(C238=0.3697,"13/32,13/32,12/32",IF(C238=0.3889,"13/32,13/32,13/32",IF(C238=0.4096,"13/32,13/32,14/32",IF(C238=0.4303,"14/32,14/32,13/32",IF(C238=0.451,"14/32,14/32,14/32",IF(C238=0.4732,"14/32,14/32,15/32",IF(C238=0.4955,"15/32,15/32,14/32",IF(C238=0.5177, "15/32,15/32,15/32",IF(C238=0.5414, "15/32,15/32,16/32",IF(C238=0.5653, "16/32,16/32,15/32",IF(C238=0.589,"16/32,16/32,16/32",IF(C238=0.6412,"16/32,16/32,18/32",IF(C238=0.6934,"18/32,16/32,16/32",IF(C238=0.7455,"18/32,18/32,18/32",IF(C238=0.8038,"18/32,18/32,20/32",IF(C238=0.8621,"20/32,20/3218/32",IF(C238=0.9204,"20/32,20/32,20/32",IF(C238=0.9848,"20/32,20/32,22/32",IF(C238=1.0492,"20/32,22/32,22/32",IF(C238=1.1137,"22/32,22/32,22/32",IF(C238=1.1842,"22/32,22/32,24/32",IF(C238=1.2548,"24/32,24/32,22/32",IF(C238=1.3254,"24/32,24/32,24/32",IF(C238=1.4021,"24/32,24/32,26/32",IF(C238=1.4788,"26/32,26/32,24/32",IF(C238=1.5555,"26/32,26/32,26/32")))))))))))))))))))))))))))))))))))))))))))</f>
        <v>10/32,10/32,11/32</v>
      </c>
      <c r="F238" s="390" t="s">
        <v>434</v>
      </c>
    </row>
    <row r="239" spans="1:10" outlineLevel="1" x14ac:dyDescent="0.2">
      <c r="A239" s="442" t="s">
        <v>191</v>
      </c>
      <c r="B239" s="442"/>
      <c r="C239" s="390">
        <f>(C213*(C225^2))/((C238^2)*10858)</f>
        <v>2778.7572665051948</v>
      </c>
      <c r="D239" s="390" t="s">
        <v>434</v>
      </c>
      <c r="F239" s="390" t="s">
        <v>434</v>
      </c>
    </row>
    <row r="240" spans="1:10" outlineLevel="1" x14ac:dyDescent="0.2">
      <c r="A240" s="442" t="s">
        <v>192</v>
      </c>
      <c r="B240" s="442"/>
      <c r="C240" s="390">
        <f>((C236-C239)*E191)/(C232+C234)</f>
        <v>541.76520561174789</v>
      </c>
      <c r="D240" s="390" t="s">
        <v>435</v>
      </c>
      <c r="E240" s="390" t="s">
        <v>435</v>
      </c>
      <c r="F240" s="390" t="s">
        <v>435</v>
      </c>
    </row>
    <row r="241" spans="1:6" outlineLevel="1" x14ac:dyDescent="0.2">
      <c r="A241" s="443" t="s">
        <v>193</v>
      </c>
      <c r="B241" s="443"/>
      <c r="C241" s="390">
        <f>E193+E191+C240</f>
        <v>4217.2826824941785</v>
      </c>
      <c r="E241" s="391"/>
      <c r="F241" s="391"/>
    </row>
    <row r="242" spans="1:6" outlineLevel="1" x14ac:dyDescent="0.2">
      <c r="A242" s="442" t="s">
        <v>194</v>
      </c>
      <c r="B242" s="442"/>
      <c r="C242" s="390">
        <f>(0.32086*C225)/(C238)</f>
        <v>483.63393470593905</v>
      </c>
      <c r="D242" s="390" t="s">
        <v>241</v>
      </c>
    </row>
    <row r="243" spans="1:6" outlineLevel="1" x14ac:dyDescent="0.2">
      <c r="A243" s="442" t="s">
        <v>195</v>
      </c>
      <c r="B243" s="442"/>
      <c r="C243" s="390">
        <f>(615*(10^-6)*C213*C225*C242)</f>
        <v>1465.8151034266912</v>
      </c>
    </row>
    <row r="244" spans="1:6" outlineLevel="1" x14ac:dyDescent="0.2">
      <c r="A244" s="442" t="s">
        <v>196</v>
      </c>
      <c r="B244" s="442"/>
      <c r="C244" s="390">
        <f>(C225*C239)/1714</f>
        <v>601.62937000820068</v>
      </c>
    </row>
    <row r="245" spans="1:6" outlineLevel="1" x14ac:dyDescent="0.2">
      <c r="A245" s="443" t="s">
        <v>197</v>
      </c>
      <c r="B245" s="443"/>
      <c r="C245" s="390">
        <f>C244/(3.141592654*((B211^2)/4))</f>
        <v>5.1046617580576292</v>
      </c>
      <c r="D245" s="389" t="s">
        <v>242</v>
      </c>
      <c r="E245" s="391"/>
      <c r="F245" s="391"/>
    </row>
    <row r="246" spans="1:6" outlineLevel="1" x14ac:dyDescent="0.2">
      <c r="A246" s="443" t="s">
        <v>198</v>
      </c>
      <c r="B246" s="443"/>
      <c r="C246" s="390">
        <f>(C225*B207)/1714</f>
        <v>649.53068473468545</v>
      </c>
      <c r="E246" s="391"/>
      <c r="F246" s="391"/>
    </row>
    <row r="247" spans="1:6" outlineLevel="1" x14ac:dyDescent="0.2">
      <c r="A247" s="442" t="s">
        <v>199</v>
      </c>
      <c r="B247" s="442"/>
      <c r="C247" s="383">
        <f>C244/C246</f>
        <v>0.92625242216839831</v>
      </c>
      <c r="D247" s="390">
        <v>66</v>
      </c>
    </row>
    <row r="248" spans="1:6" x14ac:dyDescent="0.2">
      <c r="A248" s="390" t="s">
        <v>436</v>
      </c>
      <c r="B248" s="390" t="s">
        <v>435</v>
      </c>
      <c r="C248" s="390" t="s">
        <v>435</v>
      </c>
      <c r="D248" s="390" t="s">
        <v>435</v>
      </c>
      <c r="E248" s="390" t="s">
        <v>435</v>
      </c>
      <c r="F248" s="390" t="s">
        <v>435</v>
      </c>
    </row>
    <row r="249" spans="1:6" x14ac:dyDescent="0.2">
      <c r="A249" s="444" t="s">
        <v>418</v>
      </c>
      <c r="B249" s="444"/>
      <c r="C249" s="444"/>
      <c r="D249" s="444"/>
      <c r="E249" s="444"/>
      <c r="F249" s="444"/>
    </row>
    <row r="250" spans="1:6" ht="37.5" customHeight="1" x14ac:dyDescent="0.2">
      <c r="A250" s="444"/>
      <c r="B250" s="444"/>
      <c r="C250" s="444"/>
      <c r="D250" s="444"/>
      <c r="E250" s="444"/>
      <c r="F250" s="444"/>
    </row>
    <row r="251" spans="1:6" outlineLevel="1" x14ac:dyDescent="0.2"/>
    <row r="252" spans="1:6" outlineLevel="1" x14ac:dyDescent="0.2">
      <c r="A252" s="400" t="s">
        <v>134</v>
      </c>
      <c r="B252" s="391" t="s">
        <v>135</v>
      </c>
      <c r="C252" s="391" t="s">
        <v>136</v>
      </c>
      <c r="D252" s="391" t="s">
        <v>137</v>
      </c>
      <c r="E252" s="391" t="s">
        <v>138</v>
      </c>
      <c r="F252" s="391" t="s">
        <v>139</v>
      </c>
    </row>
    <row r="253" spans="1:6" outlineLevel="1" x14ac:dyDescent="0.2">
      <c r="A253" s="401" t="s">
        <v>140</v>
      </c>
      <c r="B253" s="385">
        <v>5</v>
      </c>
      <c r="C253" s="385">
        <v>4.2759999999999998</v>
      </c>
      <c r="D253" s="390">
        <v>3</v>
      </c>
      <c r="E253" s="382">
        <v>7235.36</v>
      </c>
    </row>
    <row r="254" spans="1:6" outlineLevel="1" x14ac:dyDescent="0.2">
      <c r="A254" s="400" t="s">
        <v>141</v>
      </c>
      <c r="B254" s="385"/>
      <c r="C254" s="385"/>
      <c r="D254" s="390" t="s">
        <v>142</v>
      </c>
    </row>
    <row r="255" spans="1:6" outlineLevel="1" x14ac:dyDescent="0.2">
      <c r="A255" s="401" t="s">
        <v>143</v>
      </c>
      <c r="B255" s="386">
        <v>6.25</v>
      </c>
      <c r="C255" s="386">
        <v>2.875</v>
      </c>
      <c r="E255" s="382">
        <f>'Systems Data'!L10</f>
        <v>825.62747688243064</v>
      </c>
    </row>
    <row r="256" spans="1:6" outlineLevel="1" x14ac:dyDescent="0.2">
      <c r="A256" s="400" t="s">
        <v>144</v>
      </c>
      <c r="B256" s="386"/>
      <c r="C256" s="386"/>
      <c r="E256" s="382">
        <f>E253</f>
        <v>7235.36</v>
      </c>
    </row>
    <row r="257" spans="1:5" outlineLevel="1" x14ac:dyDescent="0.2">
      <c r="A257" s="400" t="s">
        <v>145</v>
      </c>
      <c r="B257" s="385"/>
      <c r="C257" s="385"/>
    </row>
    <row r="258" spans="1:5" outlineLevel="1" x14ac:dyDescent="0.2">
      <c r="A258" s="400" t="s">
        <v>146</v>
      </c>
      <c r="B258" s="385"/>
      <c r="C258" s="385"/>
    </row>
    <row r="259" spans="1:5" outlineLevel="1" x14ac:dyDescent="0.2">
      <c r="A259" s="400" t="s">
        <v>147</v>
      </c>
      <c r="B259" s="385"/>
      <c r="C259" s="385"/>
    </row>
    <row r="260" spans="1:5" outlineLevel="1" x14ac:dyDescent="0.2">
      <c r="A260" s="400" t="s">
        <v>148</v>
      </c>
      <c r="B260" s="385"/>
      <c r="C260" s="385"/>
    </row>
    <row r="261" spans="1:5" outlineLevel="1" x14ac:dyDescent="0.2">
      <c r="A261" s="400" t="s">
        <v>149</v>
      </c>
    </row>
    <row r="262" spans="1:5" outlineLevel="1" x14ac:dyDescent="0.2">
      <c r="A262" s="400" t="s">
        <v>150</v>
      </c>
      <c r="B262" s="390" t="s">
        <v>151</v>
      </c>
      <c r="C262" s="390" t="s">
        <v>233</v>
      </c>
    </row>
    <row r="263" spans="1:5" outlineLevel="1" x14ac:dyDescent="0.2">
      <c r="A263" s="400" t="s">
        <v>152</v>
      </c>
      <c r="B263" s="405" t="s">
        <v>153</v>
      </c>
      <c r="C263" s="390">
        <v>1</v>
      </c>
    </row>
    <row r="264" spans="1:5" outlineLevel="1" x14ac:dyDescent="0.2">
      <c r="A264" s="400" t="s">
        <v>154</v>
      </c>
      <c r="B264" s="390">
        <v>12</v>
      </c>
    </row>
    <row r="265" spans="1:5" outlineLevel="1" x14ac:dyDescent="0.2">
      <c r="A265" s="400" t="s">
        <v>155</v>
      </c>
      <c r="B265" s="390">
        <v>120</v>
      </c>
    </row>
    <row r="266" spans="1:5" outlineLevel="1" x14ac:dyDescent="0.2">
      <c r="A266" s="400" t="s">
        <v>156</v>
      </c>
      <c r="B266" s="387">
        <v>0.85</v>
      </c>
      <c r="C266" s="387"/>
      <c r="D266" s="387"/>
    </row>
    <row r="267" spans="1:5" outlineLevel="1" x14ac:dyDescent="0.2">
      <c r="A267" s="400" t="s">
        <v>157</v>
      </c>
      <c r="B267" s="387">
        <v>1</v>
      </c>
      <c r="C267" s="387"/>
      <c r="D267" s="387"/>
    </row>
    <row r="268" spans="1:5" outlineLevel="1" x14ac:dyDescent="0.2">
      <c r="A268" s="400" t="s">
        <v>158</v>
      </c>
      <c r="B268" s="390">
        <v>110</v>
      </c>
    </row>
    <row r="269" spans="1:5" outlineLevel="1" x14ac:dyDescent="0.2">
      <c r="A269" s="402" t="s">
        <v>159</v>
      </c>
      <c r="B269" s="390">
        <v>3000</v>
      </c>
    </row>
    <row r="270" spans="1:5" outlineLevel="1" x14ac:dyDescent="0.2">
      <c r="A270" s="402" t="s">
        <v>160</v>
      </c>
      <c r="B270" s="390" t="s">
        <v>232</v>
      </c>
    </row>
    <row r="271" spans="1:5" outlineLevel="1" x14ac:dyDescent="0.2">
      <c r="A271" s="402" t="s">
        <v>161</v>
      </c>
    </row>
    <row r="272" spans="1:5" outlineLevel="1" x14ac:dyDescent="0.2">
      <c r="A272" s="400" t="s">
        <v>162</v>
      </c>
      <c r="B272" s="390" t="s">
        <v>136</v>
      </c>
      <c r="C272" s="390" t="s">
        <v>163</v>
      </c>
      <c r="D272" s="390" t="s">
        <v>164</v>
      </c>
      <c r="E272" s="390" t="s">
        <v>138</v>
      </c>
    </row>
    <row r="273" spans="1:7" outlineLevel="1" x14ac:dyDescent="0.2">
      <c r="A273" s="400"/>
      <c r="B273" s="380">
        <v>9.0009999999999994</v>
      </c>
      <c r="C273" s="390">
        <v>0</v>
      </c>
      <c r="D273" s="382">
        <v>7235.36</v>
      </c>
      <c r="E273" s="382">
        <f>D273-C273</f>
        <v>7235.36</v>
      </c>
    </row>
    <row r="274" spans="1:7" outlineLevel="1" x14ac:dyDescent="0.2">
      <c r="A274" s="400" t="s">
        <v>165</v>
      </c>
      <c r="B274" s="390" t="s">
        <v>166</v>
      </c>
      <c r="C274" s="390" t="s">
        <v>167</v>
      </c>
      <c r="D274" s="390" t="s">
        <v>168</v>
      </c>
      <c r="E274" s="388" t="s">
        <v>169</v>
      </c>
    </row>
    <row r="275" spans="1:7" outlineLevel="1" x14ac:dyDescent="0.2">
      <c r="A275" s="400"/>
      <c r="C275" s="390">
        <v>14.94</v>
      </c>
    </row>
    <row r="276" spans="1:7" outlineLevel="1" x14ac:dyDescent="0.2">
      <c r="A276" s="400" t="s">
        <v>170</v>
      </c>
      <c r="B276" s="390">
        <v>3</v>
      </c>
    </row>
    <row r="277" spans="1:7" outlineLevel="1" x14ac:dyDescent="0.2">
      <c r="A277" s="401" t="s">
        <v>171</v>
      </c>
      <c r="B277" s="390">
        <f>IF(D253=1,1,IF(D253=2,0.36,IF(D253=3,0.22,IF(D253=4,0.15))))</f>
        <v>0.22</v>
      </c>
    </row>
    <row r="278" spans="1:7" outlineLevel="1" x14ac:dyDescent="0.2">
      <c r="A278" s="399"/>
      <c r="B278" s="399"/>
      <c r="C278" s="399"/>
      <c r="D278" s="399"/>
      <c r="E278" s="399"/>
      <c r="F278" s="399"/>
      <c r="G278" s="399"/>
    </row>
    <row r="279" spans="1:7" outlineLevel="1" x14ac:dyDescent="0.2">
      <c r="A279" s="445"/>
      <c r="B279" s="445"/>
      <c r="C279" s="390" t="s">
        <v>234</v>
      </c>
    </row>
    <row r="280" spans="1:7" outlineLevel="1" x14ac:dyDescent="0.2">
      <c r="A280" s="442" t="s">
        <v>172</v>
      </c>
      <c r="B280" s="442"/>
      <c r="C280" s="380">
        <f>(11800)/(B273*C275)</f>
        <v>87.748691317504978</v>
      </c>
    </row>
    <row r="281" spans="1:7" outlineLevel="1" x14ac:dyDescent="0.2">
      <c r="A281" s="442" t="s">
        <v>173</v>
      </c>
      <c r="B281" s="442"/>
      <c r="C281" s="390">
        <f>((C280*((B273^2)-(B253^2)))/24.5)</f>
        <v>200.6329093050075</v>
      </c>
      <c r="D281" s="390">
        <f>((D280*((C273^2)-(C253^2)))/24.5)</f>
        <v>0</v>
      </c>
      <c r="F281" s="390">
        <f>(B267*B264*C263*B268*(7.25^2))/C283</f>
        <v>707.69583843329247</v>
      </c>
    </row>
    <row r="282" spans="1:7" outlineLevel="1" x14ac:dyDescent="0.2">
      <c r="A282" s="442" t="s">
        <v>174</v>
      </c>
      <c r="B282" s="442"/>
      <c r="C282" s="390">
        <f>C281/B268</f>
        <v>1.8239355391364318</v>
      </c>
    </row>
    <row r="283" spans="1:7" outlineLevel="1" x14ac:dyDescent="0.2">
      <c r="A283" s="442" t="s">
        <v>175</v>
      </c>
      <c r="B283" s="442"/>
      <c r="C283" s="390">
        <f>IF(B270="Triblex",98.04,73.53)</f>
        <v>98.04</v>
      </c>
    </row>
    <row r="284" spans="1:7" outlineLevel="1" x14ac:dyDescent="0.2">
      <c r="A284" s="442" t="s">
        <v>176</v>
      </c>
      <c r="B284" s="442"/>
      <c r="C284" s="390">
        <f>(((C282*C283)/(B267*B264*C263))+(B271/2))^(0.5)</f>
        <v>3.8602530169335596</v>
      </c>
      <c r="D284" s="390" t="s">
        <v>435</v>
      </c>
      <c r="E284" s="390" t="s">
        <v>435</v>
      </c>
      <c r="F284" s="390" t="s">
        <v>435</v>
      </c>
    </row>
    <row r="285" spans="1:7" outlineLevel="1" x14ac:dyDescent="0.2">
      <c r="A285" s="442" t="s">
        <v>176</v>
      </c>
      <c r="B285" s="442"/>
      <c r="C285" s="390">
        <f>IF(C284&lt;4.5,4.5,IF(C284&lt;4.75,4.75,IF(C284&lt;5,5,IF(C284&lt;5.25,5.25,IF(C284&lt;5.5,5.5,IF(C284&lt;5.75,5.75,IF(C284&lt;6,6,IF(C284&lt;6.25,6.25,IF(C284&lt;6.5,6.5,IF(C284&lt;6.75,6.75,IF(C284&lt;7,7,IF(C284&lt;7.25,7.25))))))))))))</f>
        <v>4.5</v>
      </c>
      <c r="D285" s="390" t="s">
        <v>434</v>
      </c>
      <c r="F285" s="390" t="s">
        <v>434</v>
      </c>
    </row>
    <row r="286" spans="1:7" outlineLevel="1" x14ac:dyDescent="0.2">
      <c r="A286" s="442" t="s">
        <v>177</v>
      </c>
      <c r="B286" s="442"/>
      <c r="C286" s="384">
        <f>(B267*B264*C263*(C285^2))/C283</f>
        <v>2.4785801713586291</v>
      </c>
      <c r="D286" s="390" t="s">
        <v>434</v>
      </c>
      <c r="E286" s="384" t="s">
        <v>440</v>
      </c>
      <c r="F286" s="390" t="s">
        <v>434</v>
      </c>
    </row>
    <row r="287" spans="1:7" ht="15" customHeight="1" outlineLevel="1" x14ac:dyDescent="0.2">
      <c r="A287" s="443" t="s">
        <v>178</v>
      </c>
      <c r="B287" s="443"/>
      <c r="C287" s="390">
        <f>C286*B268*C263</f>
        <v>272.64381884944919</v>
      </c>
      <c r="D287" s="390" t="s">
        <v>434</v>
      </c>
      <c r="E287" s="388">
        <f>C287/42</f>
        <v>6.4915194964154566</v>
      </c>
      <c r="F287" s="390" t="s">
        <v>434</v>
      </c>
      <c r="G287" s="388"/>
    </row>
    <row r="288" spans="1:7" ht="15.75" customHeight="1" outlineLevel="1" x14ac:dyDescent="0.2">
      <c r="A288" s="442" t="s">
        <v>179</v>
      </c>
      <c r="B288" s="442"/>
      <c r="C288" s="390">
        <f>(24.5*C287)/((B273^2)-(B253^2))</f>
        <v>119.24334040073131</v>
      </c>
      <c r="D288" s="390" t="s">
        <v>434</v>
      </c>
      <c r="E288" s="388"/>
      <c r="F288" s="390" t="s">
        <v>434</v>
      </c>
      <c r="G288" s="388"/>
    </row>
    <row r="289" spans="1:10" outlineLevel="1" x14ac:dyDescent="0.2">
      <c r="A289" s="442" t="s">
        <v>180</v>
      </c>
      <c r="B289" s="442"/>
      <c r="C289" s="390">
        <f>(24.5*C287)/((B273^2)-(B255^2))</f>
        <v>159.21091162304336</v>
      </c>
      <c r="D289" s="390" t="s">
        <v>434</v>
      </c>
      <c r="E289" s="390" t="s">
        <v>433</v>
      </c>
      <c r="F289" s="390" t="s">
        <v>434</v>
      </c>
    </row>
    <row r="290" spans="1:10" outlineLevel="1" x14ac:dyDescent="0.2">
      <c r="A290" s="442" t="s">
        <v>181</v>
      </c>
      <c r="B290" s="442"/>
      <c r="C290" s="390">
        <v>5085</v>
      </c>
      <c r="D290" s="390" t="s">
        <v>434</v>
      </c>
      <c r="E290" s="388">
        <f>C285</f>
        <v>4.5</v>
      </c>
      <c r="F290" s="390" t="s">
        <v>434</v>
      </c>
      <c r="I290" s="382">
        <f>C292+C293+C294+C295+C296</f>
        <v>306.07077400980489</v>
      </c>
      <c r="J290" s="390">
        <f>C281^1.86</f>
        <v>19163.200237137586</v>
      </c>
    </row>
    <row r="291" spans="1:10" outlineLevel="1" x14ac:dyDescent="0.2">
      <c r="A291" s="442" t="s">
        <v>182</v>
      </c>
      <c r="B291" s="442"/>
      <c r="C291" s="390" t="str">
        <f>IF(B269&lt;C290,"Possible","Impossible")</f>
        <v>Possible</v>
      </c>
      <c r="D291" s="390" t="s">
        <v>434</v>
      </c>
      <c r="F291" s="390" t="s">
        <v>434</v>
      </c>
      <c r="J291" s="390">
        <f>I290/J290</f>
        <v>1.597179856299006E-2</v>
      </c>
    </row>
    <row r="292" spans="1:10" outlineLevel="1" x14ac:dyDescent="0.2">
      <c r="A292" s="442" t="s">
        <v>183</v>
      </c>
      <c r="B292" s="442"/>
      <c r="C292" s="390">
        <f>(B277*C275*((C287/100)^1.86))</f>
        <v>21.231525457938762</v>
      </c>
      <c r="D292" s="390" t="s">
        <v>434</v>
      </c>
      <c r="F292" s="390" t="s">
        <v>434</v>
      </c>
      <c r="I292" s="390">
        <v>1000</v>
      </c>
      <c r="J292" s="390">
        <f>I292/J291</f>
        <v>62610.35637634484</v>
      </c>
    </row>
    <row r="293" spans="1:10" outlineLevel="1" x14ac:dyDescent="0.2">
      <c r="A293" s="442" t="s">
        <v>184</v>
      </c>
      <c r="B293" s="442"/>
      <c r="C293" s="390">
        <f>(61*(10^-6)*C275*E255*(C287^1.86))/(C253^4.86)</f>
        <v>21.86901818183485</v>
      </c>
      <c r="D293" s="390" t="s">
        <v>434</v>
      </c>
      <c r="F293" s="390" t="s">
        <v>434</v>
      </c>
      <c r="J293" s="390">
        <f>J292^(1/1.86)</f>
        <v>379.1770382633552</v>
      </c>
    </row>
    <row r="294" spans="1:10" outlineLevel="1" x14ac:dyDescent="0.2">
      <c r="A294" s="442" t="s">
        <v>185</v>
      </c>
      <c r="B294" s="442"/>
      <c r="C294" s="392">
        <f>((61*(10^-6)*C275*E253*(C287^1.86)))/(C253^4.86)</f>
        <v>191.6484417277365</v>
      </c>
      <c r="D294" s="390" t="s">
        <v>434</v>
      </c>
      <c r="F294" s="390" t="s">
        <v>434</v>
      </c>
    </row>
    <row r="295" spans="1:10" outlineLevel="1" x14ac:dyDescent="0.2">
      <c r="A295" s="442" t="s">
        <v>186</v>
      </c>
      <c r="B295" s="442"/>
      <c r="C295" s="382">
        <f>(1.4327*(10^-7)*C275*E255*(C289^2))/(B273-B255)</f>
        <v>16.283398971517354</v>
      </c>
      <c r="D295" s="390" t="s">
        <v>434</v>
      </c>
      <c r="F295" s="390" t="s">
        <v>434</v>
      </c>
    </row>
    <row r="296" spans="1:10" outlineLevel="1" x14ac:dyDescent="0.2">
      <c r="A296" s="442" t="s">
        <v>187</v>
      </c>
      <c r="B296" s="442"/>
      <c r="C296" s="382">
        <f>(1.4327*(10^-7)*C275*E253*(C288^2))/(B273-B253)</f>
        <v>55.038389670777448</v>
      </c>
      <c r="D296" s="390" t="s">
        <v>434</v>
      </c>
      <c r="F296" s="390" t="s">
        <v>434</v>
      </c>
    </row>
    <row r="297" spans="1:10" outlineLevel="1" x14ac:dyDescent="0.2">
      <c r="A297" s="442" t="s">
        <v>188</v>
      </c>
      <c r="B297" s="442"/>
      <c r="C297" s="380">
        <f>C292+C293+C294+C295+C296</f>
        <v>306.07077400980489</v>
      </c>
      <c r="D297" s="390" t="s">
        <v>434</v>
      </c>
      <c r="F297" s="390" t="s">
        <v>434</v>
      </c>
    </row>
    <row r="298" spans="1:10" outlineLevel="1" x14ac:dyDescent="0.2">
      <c r="A298" s="443" t="s">
        <v>189</v>
      </c>
      <c r="B298" s="443"/>
      <c r="C298" s="380">
        <f>B269-C297</f>
        <v>2693.9292259901949</v>
      </c>
      <c r="D298" s="390" t="s">
        <v>434</v>
      </c>
      <c r="E298" s="391"/>
      <c r="F298" s="390" t="s">
        <v>434</v>
      </c>
    </row>
    <row r="299" spans="1:10" outlineLevel="1" x14ac:dyDescent="0.2">
      <c r="A299" s="443" t="s">
        <v>190</v>
      </c>
      <c r="B299" s="443"/>
      <c r="C299" s="390">
        <f>((C275*(C287^2))/(C298*10858))^(0.5)</f>
        <v>0.19485113743348889</v>
      </c>
      <c r="D299" s="390" t="s">
        <v>434</v>
      </c>
      <c r="E299" s="390" t="s">
        <v>235</v>
      </c>
      <c r="F299" s="390" t="s">
        <v>434</v>
      </c>
    </row>
    <row r="300" spans="1:10" outlineLevel="1" x14ac:dyDescent="0.2">
      <c r="A300" s="443" t="s">
        <v>190</v>
      </c>
      <c r="B300" s="443"/>
      <c r="C300" s="381">
        <f>IF(C299&lt;0.1129,0.1129,IF(C299&lt;0.1243,0.1243,IF(C299&lt;0.1358,0.1358,IF(C299&lt;0.1473,0.1473,IF(C299&lt;0.1603,0.1603,IF(C299&lt;0.1733,0.1733,IF(C299&lt;0.1864,0.1864,IF(C299&lt;0.201,0.201,IF(C299&lt;0.2155,0.2155,IF(C299&lt;0.231,0.231,IF(C299&lt;0.2462,0.2462,IF(C299&lt;0.2623,0.2623,IF(C299&lt;0.2784,0.2784,IF(C299&lt;0.2961,0.2961,IF(C299&lt;0.3137,0.3137,IF(C299&lt;0.3313,0.3313,IF(C299&lt;0.3505,0.3505,IF(C299&lt;0.3697,0.3697,IF(C299&lt;0.3889,0.3889,IF(C299&lt;0.4096,0.4096,IF(C299&lt;0.4303,0.4303,IF(C299&lt;0.451,0.451,IF(C299&lt;0.4732,0.4732,IF(C299&lt;0.4955,0.4955,IF(C299&lt;0.5177,0.5177,IF(C299&lt;0.5414,0.5414,IF(C299&lt;0.5653,0.5653,IF(C299&lt;0.589,0.589,IF(C299&lt;0.6412,0.6412,IF(C299&lt;0.6934,0.6934,IF(C299&lt;0.7455,0.7455,IF(C299&lt;0.8038,0.8038,IF(C299&lt;0.8621,0.8621,IF(C299&lt;0.9204,0.9204,IF(C299&lt;0.9848,0.9848,IF(C299&lt;1.0492,1.0492,IF(C299&lt;1.1137,1.1137,IF(C299&lt;1.1842,1.1842,IF(C299&lt;1.2548,1.2548,IF(C299&lt;1.3254,1.3254,IF(C299&lt;1.4021,1.4021,IF(C299&lt;1.4788,1.4788,IF(C299&lt;1.5555,1.5555)))))))))))))))))))))))))))))))))))))))))))</f>
        <v>0.20100000000000001</v>
      </c>
      <c r="D300" s="390" t="s">
        <v>434</v>
      </c>
      <c r="E300" s="390" t="str">
        <f>IF(C300=0.1129,"7/32,7/32,7/32",IF(C300=0.1243,"7/32,7/32,8/32",IF(C300=0.1358,"7/32,8/32,8/32",IF(C300=0.1473,"8/32,8/32,8/32",IF(C300=0.1603,"9/32,8/32,8/32",IF(C300=0.1733,"9/32,9/32,8/32",IF(C300=0.1864,"9/32,9/32,9/32",IF(C300=0.201,"9/32,9/32,10/32",IF(C300=0.2155,"10/32,10/32,9/32",IF(C300=0.231,"10/32,10/32,10/32",IF(C300=0.2462,"10/32,10/32,11/32",IF(C300=0.2623,"11/32,11/32,10/32",IF(C300=0.2784,"11/32,11/32,11/32",IF(C300=0.2961,"11/32,11/32,12/32",IF(C300=0.3137,"12/32,12/32,11/32",IF(C300=0.3313,"12/32,12/32,12/32",IF(C300=0.3505,"12/32,12/32,13/32",IF(C300=0.3697,"13/32,13/32,12/32",IF(C300=0.3889,"13/32,13/32,13/32",IF(C300=0.4096,"13/32,13/32,14/32",IF(C300=0.4303,"14/32,14/32,13/32",IF(C300=0.451,"14/32,14/32,14/32",IF(C300=0.4732,"14/32,14/32,15/32",IF(C300=0.4955,"15/32,15/32,14/32",IF(C300=0.5177, "15/32,15/32,15/32",IF(C300=0.5414, "15/32,15/32,16/32",IF(C300=0.5653, "16/32,16/32,15/32",IF(C300=0.589,"16/32,16/32,16/32",IF(C300=0.6412,"16/32,16/32,18/32",IF(C300=0.6934,"18/32,16/32,16/32",IF(C300=0.7455,"18/32,18/32,18/32",IF(C300=0.8038,"18/32,18/32,20/32",IF(C300=0.8621,"20/32,20/3218/32",IF(C300=0.9204,"20/32,20/32,20/32",IF(C300=0.9848,"20/32,20/32,22/32",IF(C300=1.0492,"20/32,22/32,22/32",IF(C300=1.1137,"22/32,22/32,22/32",IF(C300=1.1842,"22/32,22/32,24/32",IF(C300=1.2548,"24/32,24/32,22/32",IF(C300=1.3254,"24/32,24/32,24/32",IF(C300=1.4021,"24/32,24/32,26/32",IF(C300=1.4788,"26/32,26/32,24/32",IF(C300=1.5555,"26/32,26/32,26/32")))))))))))))))))))))))))))))))))))))))))))</f>
        <v>9/32,9/32,10/32</v>
      </c>
      <c r="F300" s="390" t="s">
        <v>434</v>
      </c>
    </row>
    <row r="301" spans="1:10" outlineLevel="1" x14ac:dyDescent="0.2">
      <c r="A301" s="442" t="s">
        <v>191</v>
      </c>
      <c r="B301" s="442"/>
      <c r="C301" s="390">
        <f>(C275*(C287^2))/((C300^2)*10858)</f>
        <v>2531.6283923832125</v>
      </c>
      <c r="D301" s="390" t="s">
        <v>434</v>
      </c>
      <c r="F301" s="390" t="s">
        <v>434</v>
      </c>
    </row>
    <row r="302" spans="1:10" outlineLevel="1" x14ac:dyDescent="0.2">
      <c r="A302" s="442" t="s">
        <v>192</v>
      </c>
      <c r="B302" s="442"/>
      <c r="C302" s="390">
        <f>((C298-C301)*E253)/(C294+C296)</f>
        <v>4760.3066316481554</v>
      </c>
      <c r="D302" s="390" t="s">
        <v>435</v>
      </c>
      <c r="E302" s="390" t="s">
        <v>435</v>
      </c>
      <c r="F302" s="390" t="s">
        <v>435</v>
      </c>
    </row>
    <row r="303" spans="1:10" outlineLevel="1" x14ac:dyDescent="0.2">
      <c r="A303" s="443" t="s">
        <v>193</v>
      </c>
      <c r="B303" s="443"/>
      <c r="C303" s="390">
        <f>E255+E253+C302</f>
        <v>12821.294108530587</v>
      </c>
      <c r="E303" s="391"/>
      <c r="F303" s="391"/>
    </row>
    <row r="304" spans="1:10" outlineLevel="1" x14ac:dyDescent="0.2">
      <c r="A304" s="442" t="s">
        <v>194</v>
      </c>
      <c r="B304" s="442"/>
      <c r="C304" s="390">
        <f>(0.32086*C287)/(C300)</f>
        <v>435.22634684594152</v>
      </c>
      <c r="D304" s="390" t="s">
        <v>241</v>
      </c>
    </row>
    <row r="305" spans="1:6" outlineLevel="1" x14ac:dyDescent="0.2">
      <c r="A305" s="442" t="s">
        <v>195</v>
      </c>
      <c r="B305" s="442"/>
      <c r="C305" s="390">
        <f>(615*(10^-6)*C275*C287*C304)</f>
        <v>1090.2762389634572</v>
      </c>
    </row>
    <row r="306" spans="1:6" outlineLevel="1" x14ac:dyDescent="0.2">
      <c r="A306" s="442" t="s">
        <v>196</v>
      </c>
      <c r="B306" s="442"/>
      <c r="C306" s="390">
        <f>(C287*C301)/1714</f>
        <v>402.70293629349527</v>
      </c>
    </row>
    <row r="307" spans="1:6" outlineLevel="1" x14ac:dyDescent="0.2">
      <c r="A307" s="443" t="s">
        <v>197</v>
      </c>
      <c r="B307" s="443"/>
      <c r="C307" s="390">
        <f>C306/(3.141592654*((B273^2)/4))</f>
        <v>6.3286837107088543</v>
      </c>
      <c r="D307" s="389" t="s">
        <v>242</v>
      </c>
      <c r="E307" s="391"/>
      <c r="F307" s="391"/>
    </row>
    <row r="308" spans="1:6" outlineLevel="1" x14ac:dyDescent="0.2">
      <c r="A308" s="443" t="s">
        <v>198</v>
      </c>
      <c r="B308" s="443"/>
      <c r="C308" s="390">
        <f>(C287*B269)/1714</f>
        <v>477.20621735609546</v>
      </c>
      <c r="E308" s="391"/>
      <c r="F308" s="391"/>
    </row>
    <row r="309" spans="1:6" outlineLevel="1" x14ac:dyDescent="0.2">
      <c r="A309" s="442" t="s">
        <v>199</v>
      </c>
      <c r="B309" s="442"/>
      <c r="C309" s="383">
        <f>C306/C308</f>
        <v>0.84387613079440416</v>
      </c>
      <c r="D309" s="390">
        <v>66</v>
      </c>
    </row>
    <row r="310" spans="1:6" x14ac:dyDescent="0.2">
      <c r="A310" s="390" t="s">
        <v>436</v>
      </c>
      <c r="B310" s="390" t="s">
        <v>435</v>
      </c>
      <c r="C310" s="390" t="s">
        <v>435</v>
      </c>
      <c r="D310" s="390" t="s">
        <v>435</v>
      </c>
      <c r="E310" s="390" t="s">
        <v>435</v>
      </c>
      <c r="F310" s="390" t="s">
        <v>435</v>
      </c>
    </row>
    <row r="311" spans="1:6" x14ac:dyDescent="0.2">
      <c r="A311" s="444" t="s">
        <v>419</v>
      </c>
      <c r="B311" s="444"/>
      <c r="C311" s="444"/>
      <c r="D311" s="444"/>
      <c r="E311" s="444"/>
      <c r="F311" s="444"/>
    </row>
    <row r="312" spans="1:6" ht="33.75" customHeight="1" x14ac:dyDescent="0.2">
      <c r="A312" s="444"/>
      <c r="B312" s="444"/>
      <c r="C312" s="444"/>
      <c r="D312" s="444"/>
      <c r="E312" s="444"/>
      <c r="F312" s="444"/>
    </row>
    <row r="313" spans="1:6" outlineLevel="1" x14ac:dyDescent="0.2"/>
    <row r="314" spans="1:6" outlineLevel="1" x14ac:dyDescent="0.2">
      <c r="A314" s="400" t="s">
        <v>134</v>
      </c>
      <c r="B314" s="391" t="s">
        <v>135</v>
      </c>
      <c r="C314" s="391" t="s">
        <v>136</v>
      </c>
      <c r="D314" s="391" t="s">
        <v>137</v>
      </c>
      <c r="E314" s="391" t="s">
        <v>138</v>
      </c>
      <c r="F314" s="391" t="s">
        <v>139</v>
      </c>
    </row>
    <row r="315" spans="1:6" outlineLevel="1" x14ac:dyDescent="0.2">
      <c r="A315" s="401" t="s">
        <v>140</v>
      </c>
      <c r="B315" s="385">
        <v>3.5</v>
      </c>
      <c r="C315" s="385">
        <v>3.0670000000000002</v>
      </c>
      <c r="D315" s="390">
        <v>3</v>
      </c>
      <c r="E315" s="382">
        <v>8451.44</v>
      </c>
    </row>
    <row r="316" spans="1:6" outlineLevel="1" x14ac:dyDescent="0.2">
      <c r="A316" s="400" t="s">
        <v>141</v>
      </c>
      <c r="B316" s="385"/>
      <c r="C316" s="385"/>
      <c r="D316" s="390" t="s">
        <v>142</v>
      </c>
    </row>
    <row r="317" spans="1:6" outlineLevel="1" x14ac:dyDescent="0.2">
      <c r="A317" s="401" t="s">
        <v>143</v>
      </c>
      <c r="B317" s="386">
        <v>4.75</v>
      </c>
      <c r="C317" s="386">
        <v>2</v>
      </c>
      <c r="E317" s="382">
        <f>'Systems Data'!L10</f>
        <v>825.62747688243064</v>
      </c>
    </row>
    <row r="318" spans="1:6" outlineLevel="1" x14ac:dyDescent="0.2">
      <c r="A318" s="400" t="s">
        <v>144</v>
      </c>
      <c r="B318" s="386"/>
      <c r="C318" s="386"/>
      <c r="E318" s="382">
        <f>E315</f>
        <v>8451.44</v>
      </c>
    </row>
    <row r="319" spans="1:6" outlineLevel="1" x14ac:dyDescent="0.2">
      <c r="A319" s="400" t="s">
        <v>145</v>
      </c>
      <c r="B319" s="385"/>
      <c r="C319" s="385"/>
    </row>
    <row r="320" spans="1:6" outlineLevel="1" x14ac:dyDescent="0.2">
      <c r="A320" s="400" t="s">
        <v>146</v>
      </c>
      <c r="B320" s="385"/>
      <c r="C320" s="385"/>
    </row>
    <row r="321" spans="1:5" outlineLevel="1" x14ac:dyDescent="0.2">
      <c r="A321" s="400" t="s">
        <v>147</v>
      </c>
      <c r="B321" s="385"/>
      <c r="C321" s="385"/>
    </row>
    <row r="322" spans="1:5" outlineLevel="1" x14ac:dyDescent="0.2">
      <c r="A322" s="400" t="s">
        <v>148</v>
      </c>
      <c r="B322" s="385"/>
      <c r="C322" s="385"/>
    </row>
    <row r="323" spans="1:5" outlineLevel="1" x14ac:dyDescent="0.2">
      <c r="A323" s="400" t="s">
        <v>149</v>
      </c>
    </row>
    <row r="324" spans="1:5" outlineLevel="1" x14ac:dyDescent="0.2">
      <c r="A324" s="400" t="s">
        <v>150</v>
      </c>
      <c r="B324" s="390" t="s">
        <v>151</v>
      </c>
      <c r="C324" s="390" t="s">
        <v>233</v>
      </c>
    </row>
    <row r="325" spans="1:5" outlineLevel="1" x14ac:dyDescent="0.2">
      <c r="A325" s="400" t="s">
        <v>152</v>
      </c>
      <c r="B325" s="405" t="s">
        <v>153</v>
      </c>
      <c r="C325" s="390">
        <v>1</v>
      </c>
    </row>
    <row r="326" spans="1:5" outlineLevel="1" x14ac:dyDescent="0.2">
      <c r="A326" s="400" t="s">
        <v>154</v>
      </c>
      <c r="B326" s="390">
        <v>12</v>
      </c>
    </row>
    <row r="327" spans="1:5" outlineLevel="1" x14ac:dyDescent="0.2">
      <c r="A327" s="400" t="s">
        <v>155</v>
      </c>
      <c r="B327" s="390">
        <v>120</v>
      </c>
    </row>
    <row r="328" spans="1:5" outlineLevel="1" x14ac:dyDescent="0.2">
      <c r="A328" s="400" t="s">
        <v>156</v>
      </c>
      <c r="B328" s="387">
        <v>0.85</v>
      </c>
      <c r="C328" s="387"/>
      <c r="D328" s="387"/>
    </row>
    <row r="329" spans="1:5" outlineLevel="1" x14ac:dyDescent="0.2">
      <c r="A329" s="400" t="s">
        <v>157</v>
      </c>
      <c r="B329" s="387">
        <v>1</v>
      </c>
      <c r="C329" s="387"/>
      <c r="D329" s="387"/>
    </row>
    <row r="330" spans="1:5" outlineLevel="1" x14ac:dyDescent="0.2">
      <c r="A330" s="400" t="s">
        <v>158</v>
      </c>
      <c r="B330" s="390">
        <v>110</v>
      </c>
    </row>
    <row r="331" spans="1:5" outlineLevel="1" x14ac:dyDescent="0.2">
      <c r="A331" s="402" t="s">
        <v>159</v>
      </c>
      <c r="B331" s="390">
        <v>3000</v>
      </c>
    </row>
    <row r="332" spans="1:5" outlineLevel="1" x14ac:dyDescent="0.2">
      <c r="A332" s="402" t="s">
        <v>160</v>
      </c>
      <c r="B332" s="390" t="s">
        <v>232</v>
      </c>
    </row>
    <row r="333" spans="1:5" outlineLevel="1" x14ac:dyDescent="0.2">
      <c r="A333" s="402" t="s">
        <v>161</v>
      </c>
    </row>
    <row r="334" spans="1:5" outlineLevel="1" x14ac:dyDescent="0.2">
      <c r="A334" s="400" t="s">
        <v>162</v>
      </c>
      <c r="B334" s="390" t="s">
        <v>136</v>
      </c>
      <c r="C334" s="390" t="s">
        <v>163</v>
      </c>
      <c r="D334" s="390" t="s">
        <v>164</v>
      </c>
      <c r="E334" s="390" t="s">
        <v>138</v>
      </c>
    </row>
    <row r="335" spans="1:5" outlineLevel="1" x14ac:dyDescent="0.2">
      <c r="A335" s="400"/>
      <c r="B335" s="385">
        <v>6.2759999999999998</v>
      </c>
      <c r="C335" s="390">
        <v>0</v>
      </c>
      <c r="D335" s="382">
        <v>8451.44</v>
      </c>
      <c r="E335" s="382">
        <f>D335-C335</f>
        <v>8451.44</v>
      </c>
    </row>
    <row r="336" spans="1:5" outlineLevel="1" x14ac:dyDescent="0.2">
      <c r="A336" s="400" t="s">
        <v>165</v>
      </c>
      <c r="B336" s="390" t="s">
        <v>166</v>
      </c>
      <c r="C336" s="390" t="s">
        <v>167</v>
      </c>
      <c r="D336" s="390" t="s">
        <v>168</v>
      </c>
      <c r="E336" s="388" t="s">
        <v>169</v>
      </c>
    </row>
    <row r="337" spans="1:10" outlineLevel="1" x14ac:dyDescent="0.2">
      <c r="A337" s="400"/>
      <c r="C337" s="390">
        <v>12.45</v>
      </c>
    </row>
    <row r="338" spans="1:10" outlineLevel="1" x14ac:dyDescent="0.2">
      <c r="A338" s="400" t="s">
        <v>170</v>
      </c>
      <c r="B338" s="390">
        <v>3</v>
      </c>
    </row>
    <row r="339" spans="1:10" outlineLevel="1" x14ac:dyDescent="0.2">
      <c r="A339" s="401" t="s">
        <v>171</v>
      </c>
      <c r="B339" s="390">
        <f>IF(D315=1,1,IF(D315=2,0.36,IF(D315=3,0.22,IF(D315=4,0.15))))</f>
        <v>0.22</v>
      </c>
    </row>
    <row r="340" spans="1:10" outlineLevel="1" x14ac:dyDescent="0.2">
      <c r="A340" s="399"/>
      <c r="B340" s="399"/>
      <c r="C340" s="399"/>
      <c r="D340" s="399"/>
      <c r="E340" s="399"/>
      <c r="F340" s="399"/>
      <c r="G340" s="399"/>
    </row>
    <row r="341" spans="1:10" outlineLevel="1" x14ac:dyDescent="0.2">
      <c r="A341" s="445"/>
      <c r="B341" s="445"/>
      <c r="C341" s="390" t="s">
        <v>234</v>
      </c>
    </row>
    <row r="342" spans="1:10" outlineLevel="1" x14ac:dyDescent="0.2">
      <c r="A342" s="442" t="s">
        <v>172</v>
      </c>
      <c r="B342" s="442"/>
      <c r="C342" s="380">
        <f>(11800)/(B335*C337)</f>
        <v>151.0183500093427</v>
      </c>
    </row>
    <row r="343" spans="1:10" outlineLevel="1" x14ac:dyDescent="0.2">
      <c r="A343" s="442" t="s">
        <v>173</v>
      </c>
      <c r="B343" s="442"/>
      <c r="C343" s="390">
        <f>((C342*((B335^2)-(B315^2)))/24.5)</f>
        <v>167.28010456257726</v>
      </c>
      <c r="D343" s="390">
        <f>((D342*((C335^2)-(C315^2)))/24.5)</f>
        <v>0</v>
      </c>
      <c r="F343" s="390">
        <f>(B329*B326*C325*B330*(7.25^2))/C345</f>
        <v>707.69583843329247</v>
      </c>
    </row>
    <row r="344" spans="1:10" outlineLevel="1" x14ac:dyDescent="0.2">
      <c r="A344" s="442" t="s">
        <v>174</v>
      </c>
      <c r="B344" s="442"/>
      <c r="C344" s="390">
        <f>C343/B330</f>
        <v>1.520728223296157</v>
      </c>
    </row>
    <row r="345" spans="1:10" outlineLevel="1" x14ac:dyDescent="0.2">
      <c r="A345" s="442" t="s">
        <v>175</v>
      </c>
      <c r="B345" s="442"/>
      <c r="C345" s="390">
        <f>IF(B332="Triblex",98.04,73.53)</f>
        <v>98.04</v>
      </c>
    </row>
    <row r="346" spans="1:10" outlineLevel="1" x14ac:dyDescent="0.2">
      <c r="A346" s="442" t="s">
        <v>176</v>
      </c>
      <c r="B346" s="442"/>
      <c r="C346" s="390">
        <f>(((C344*C345)/(B329*B326*C325))+(B333/2))^(0.5)</f>
        <v>3.5248190853332604</v>
      </c>
      <c r="D346" s="390" t="s">
        <v>435</v>
      </c>
      <c r="E346" s="390" t="s">
        <v>435</v>
      </c>
      <c r="F346" s="390" t="s">
        <v>435</v>
      </c>
    </row>
    <row r="347" spans="1:10" outlineLevel="1" x14ac:dyDescent="0.2">
      <c r="A347" s="442" t="s">
        <v>176</v>
      </c>
      <c r="B347" s="442"/>
      <c r="C347" s="390">
        <f>IF(C346&lt;4.5,4.5,IF(C346&lt;4.75,4.75,IF(C346&lt;5,5,IF(C346&lt;5.25,5.25,IF(C346&lt;5.5,5.5,IF(C346&lt;5.75,5.75,IF(C346&lt;6,6,IF(C346&lt;6.25,6.25,IF(C346&lt;6.5,6.5,IF(C346&lt;6.75,6.75,IF(C346&lt;7,7,IF(C346&lt;7.25,7.25))))))))))))</f>
        <v>4.5</v>
      </c>
      <c r="D347" s="390" t="s">
        <v>434</v>
      </c>
      <c r="F347" s="390" t="s">
        <v>434</v>
      </c>
    </row>
    <row r="348" spans="1:10" outlineLevel="1" x14ac:dyDescent="0.2">
      <c r="A348" s="442" t="s">
        <v>177</v>
      </c>
      <c r="B348" s="442"/>
      <c r="C348" s="384">
        <f>(B329*B326*C325*(C347^2))/C345</f>
        <v>2.4785801713586291</v>
      </c>
      <c r="D348" s="390" t="s">
        <v>434</v>
      </c>
      <c r="E348" s="384" t="s">
        <v>440</v>
      </c>
      <c r="F348" s="390" t="s">
        <v>434</v>
      </c>
    </row>
    <row r="349" spans="1:10" ht="15" customHeight="1" outlineLevel="1" x14ac:dyDescent="0.2">
      <c r="A349" s="443" t="s">
        <v>178</v>
      </c>
      <c r="B349" s="443"/>
      <c r="C349" s="390">
        <f>C348*B330*C325</f>
        <v>272.64381884944919</v>
      </c>
      <c r="D349" s="390" t="s">
        <v>434</v>
      </c>
      <c r="E349" s="388">
        <f>C349/42</f>
        <v>6.4915194964154566</v>
      </c>
      <c r="F349" s="390" t="s">
        <v>434</v>
      </c>
      <c r="G349" s="388"/>
    </row>
    <row r="350" spans="1:10" ht="15.75" customHeight="1" outlineLevel="1" x14ac:dyDescent="0.2">
      <c r="A350" s="442" t="s">
        <v>179</v>
      </c>
      <c r="B350" s="442"/>
      <c r="C350" s="390">
        <f>(24.5*C349)/((B335^2)-(B315^2))</f>
        <v>246.13937067146688</v>
      </c>
      <c r="D350" s="390" t="s">
        <v>434</v>
      </c>
      <c r="E350" s="388"/>
      <c r="F350" s="390" t="s">
        <v>434</v>
      </c>
      <c r="G350" s="388"/>
    </row>
    <row r="351" spans="1:10" outlineLevel="1" x14ac:dyDescent="0.2">
      <c r="A351" s="442" t="s">
        <v>180</v>
      </c>
      <c r="B351" s="442"/>
      <c r="C351" s="390">
        <f>(24.5*C349)/((B335^2)-(B317^2))</f>
        <v>396.99882262154028</v>
      </c>
      <c r="D351" s="390" t="s">
        <v>434</v>
      </c>
      <c r="E351" s="390" t="s">
        <v>433</v>
      </c>
      <c r="F351" s="390" t="s">
        <v>434</v>
      </c>
    </row>
    <row r="352" spans="1:10" outlineLevel="1" x14ac:dyDescent="0.2">
      <c r="A352" s="442" t="s">
        <v>181</v>
      </c>
      <c r="B352" s="442"/>
      <c r="C352" s="390">
        <v>5085</v>
      </c>
      <c r="D352" s="390" t="s">
        <v>434</v>
      </c>
      <c r="E352" s="388">
        <f>C347</f>
        <v>4.5</v>
      </c>
      <c r="F352" s="390" t="s">
        <v>434</v>
      </c>
      <c r="I352" s="382">
        <f>C354+C355+C356+C357+C358</f>
        <v>1528.4439768978216</v>
      </c>
      <c r="J352" s="390">
        <f>C343^1.86</f>
        <v>13664.897605822287</v>
      </c>
    </row>
    <row r="353" spans="1:10" outlineLevel="1" x14ac:dyDescent="0.2">
      <c r="A353" s="442" t="s">
        <v>182</v>
      </c>
      <c r="B353" s="442"/>
      <c r="C353" s="390" t="str">
        <f>IF(B331&lt;C352,"Possible","Impossible")</f>
        <v>Possible</v>
      </c>
      <c r="D353" s="390" t="s">
        <v>434</v>
      </c>
      <c r="F353" s="390" t="s">
        <v>434</v>
      </c>
      <c r="J353" s="390">
        <f>I352/J352</f>
        <v>0.11185184265461222</v>
      </c>
    </row>
    <row r="354" spans="1:10" outlineLevel="1" x14ac:dyDescent="0.2">
      <c r="A354" s="442" t="s">
        <v>183</v>
      </c>
      <c r="B354" s="442"/>
      <c r="C354" s="390">
        <f>(B339*C337*((C349/100)^1.86))</f>
        <v>17.692937881615634</v>
      </c>
      <c r="D354" s="390" t="s">
        <v>434</v>
      </c>
      <c r="F354" s="390" t="s">
        <v>434</v>
      </c>
      <c r="I354" s="390">
        <v>1000</v>
      </c>
      <c r="J354" s="390">
        <f>I354/J353</f>
        <v>8940.3980861352848</v>
      </c>
    </row>
    <row r="355" spans="1:10" outlineLevel="1" x14ac:dyDescent="0.2">
      <c r="A355" s="442" t="s">
        <v>184</v>
      </c>
      <c r="B355" s="442"/>
      <c r="C355" s="390">
        <f>(61*(10^-6)*C337*E317*(C349^1.86))/(C315^4.86)</f>
        <v>91.635191862705298</v>
      </c>
      <c r="D355" s="390" t="s">
        <v>434</v>
      </c>
      <c r="F355" s="390" t="s">
        <v>434</v>
      </c>
      <c r="J355" s="390">
        <f>J354^(1/1.86)</f>
        <v>133.16356302209979</v>
      </c>
    </row>
    <row r="356" spans="1:10" outlineLevel="1" x14ac:dyDescent="0.2">
      <c r="A356" s="442" t="s">
        <v>185</v>
      </c>
      <c r="B356" s="442"/>
      <c r="C356" s="392">
        <f>((61*(10^-6)*C337*E315*(C349^1.86)))/(C315^4.86)</f>
        <v>938.01302354963127</v>
      </c>
      <c r="D356" s="390" t="s">
        <v>434</v>
      </c>
      <c r="F356" s="390" t="s">
        <v>434</v>
      </c>
    </row>
    <row r="357" spans="1:10" outlineLevel="1" x14ac:dyDescent="0.2">
      <c r="A357" s="442" t="s">
        <v>186</v>
      </c>
      <c r="B357" s="442"/>
      <c r="C357" s="382">
        <f>(1.4327*(10^-7)*C337*E317*(C351^2))/(B335-B317)</f>
        <v>152.10120479056269</v>
      </c>
      <c r="D357" s="390" t="s">
        <v>434</v>
      </c>
      <c r="F357" s="390" t="s">
        <v>434</v>
      </c>
    </row>
    <row r="358" spans="1:10" outlineLevel="1" x14ac:dyDescent="0.2">
      <c r="A358" s="442" t="s">
        <v>187</v>
      </c>
      <c r="B358" s="442"/>
      <c r="C358" s="382">
        <f>(1.4327*(10^-7)*C337*E315*(C350^2))/(B335-B315)</f>
        <v>329.00161881330672</v>
      </c>
      <c r="D358" s="390" t="s">
        <v>434</v>
      </c>
      <c r="F358" s="390" t="s">
        <v>434</v>
      </c>
    </row>
    <row r="359" spans="1:10" outlineLevel="1" x14ac:dyDescent="0.2">
      <c r="A359" s="442" t="s">
        <v>188</v>
      </c>
      <c r="B359" s="442"/>
      <c r="C359" s="380">
        <f>C354+C355+C356+C357+C358</f>
        <v>1528.4439768978216</v>
      </c>
      <c r="D359" s="390" t="s">
        <v>434</v>
      </c>
      <c r="F359" s="390" t="s">
        <v>434</v>
      </c>
    </row>
    <row r="360" spans="1:10" outlineLevel="1" x14ac:dyDescent="0.2">
      <c r="A360" s="443" t="s">
        <v>189</v>
      </c>
      <c r="B360" s="443"/>
      <c r="C360" s="380">
        <f>B331-C359</f>
        <v>1471.5560231021784</v>
      </c>
      <c r="D360" s="390" t="s">
        <v>434</v>
      </c>
      <c r="E360" s="391"/>
      <c r="F360" s="390" t="s">
        <v>434</v>
      </c>
    </row>
    <row r="361" spans="1:10" outlineLevel="1" x14ac:dyDescent="0.2">
      <c r="A361" s="443" t="s">
        <v>190</v>
      </c>
      <c r="B361" s="443"/>
      <c r="C361" s="390">
        <f>((C337*(C349^2))/(C360*10858))^(0.5)</f>
        <v>0.24066725965233723</v>
      </c>
      <c r="D361" s="390" t="s">
        <v>434</v>
      </c>
      <c r="E361" s="390" t="s">
        <v>235</v>
      </c>
      <c r="F361" s="390" t="s">
        <v>434</v>
      </c>
    </row>
    <row r="362" spans="1:10" outlineLevel="1" x14ac:dyDescent="0.2">
      <c r="A362" s="443" t="s">
        <v>190</v>
      </c>
      <c r="B362" s="443"/>
      <c r="C362" s="381">
        <f>IF(C361&lt;0.1129,0.1129,IF(C361&lt;0.1243,0.1243,IF(C361&lt;0.1358,0.1358,IF(C361&lt;0.1473,0.1473,IF(C361&lt;0.1603,0.1603,IF(C361&lt;0.1733,0.1733,IF(C361&lt;0.1864,0.1864,IF(C361&lt;0.201,0.201,IF(C361&lt;0.2155,0.2155,IF(C361&lt;0.231,0.231,IF(C361&lt;0.2462,0.2462,IF(C361&lt;0.2623,0.2623,IF(C361&lt;0.2784,0.2784,IF(C361&lt;0.2961,0.2961,IF(C361&lt;0.3137,0.3137,IF(C361&lt;0.3313,0.3313,IF(C361&lt;0.3505,0.3505,IF(C361&lt;0.3697,0.3697,IF(C361&lt;0.3889,0.3889,IF(C361&lt;0.4096,0.4096,IF(C361&lt;0.4303,0.4303,IF(C361&lt;0.451,0.451,IF(C361&lt;0.4732,0.4732,IF(C361&lt;0.4955,0.4955,IF(C361&lt;0.5177,0.5177,IF(C361&lt;0.5414,0.5414,IF(C361&lt;0.5653,0.5653,IF(C361&lt;0.589,0.589,IF(C361&lt;0.6412,0.6412,IF(C361&lt;0.6934,0.6934,IF(C361&lt;0.7455,0.7455,IF(C361&lt;0.8038,0.8038,IF(C361&lt;0.8621,0.8621,IF(C361&lt;0.9204,0.9204,IF(C361&lt;0.9848,0.9848,IF(C361&lt;1.0492,1.0492,IF(C361&lt;1.1137,1.1137,IF(C361&lt;1.1842,1.1842,IF(C361&lt;1.2548,1.2548,IF(C361&lt;1.3254,1.3254,IF(C361&lt;1.4021,1.4021,IF(C361&lt;1.4788,1.4788,IF(C361&lt;1.5555,1.5555)))))))))))))))))))))))))))))))))))))))))))</f>
        <v>0.2462</v>
      </c>
      <c r="D362" s="390" t="s">
        <v>434</v>
      </c>
      <c r="E362" s="390" t="str">
        <f>IF(C362=0.1129,"7/32,7/32,7/32",IF(C362=0.1243,"7/32,7/32,8/32",IF(C362=0.1358,"7/32,8/32,8/32",IF(C362=0.1473,"8/32,8/32,8/32",IF(C362=0.1603,"9/32,8/32,8/32",IF(C362=0.1733,"9/32,9/32,8/32",IF(C362=0.1864,"9/32,9/32,9/32",IF(C362=0.201,"9/32,9/32,10/32",IF(C362=0.2155,"10/32,10/32,9/32",IF(C362=0.231,"10/32,10/32,10/32",IF(C362=0.2462,"10/32,10/32,11/32",IF(C362=0.2623,"11/32,11/32,10/32",IF(C362=0.2784,"11/32,11/32,11/32",IF(C362=0.2961,"11/32,11/32,12/32",IF(C362=0.3137,"12/32,12/32,11/32",IF(C362=0.3313,"12/32,12/32,12/32",IF(C362=0.3505,"12/32,12/32,13/32",IF(C362=0.3697,"13/32,13/32,12/32",IF(C362=0.3889,"13/32,13/32,13/32",IF(C362=0.4096,"13/32,13/32,14/32",IF(C362=0.4303,"14/32,14/32,13/32",IF(C362=0.451,"14/32,14/32,14/32",IF(C362=0.4732,"14/32,14/32,15/32",IF(C362=0.4955,"15/32,15/32,14/32",IF(C362=0.5177, "15/32,15/32,15/32",IF(C362=0.5414, "15/32,15/32,16/32",IF(C362=0.5653, "16/32,16/32,15/32",IF(C362=0.589,"16/32,16/32,16/32",IF(C362=0.6412,"16/32,16/32,18/32",IF(C362=0.6934,"18/32,16/32,16/32",IF(C362=0.7455,"18/32,18/32,18/32",IF(C362=0.8038,"18/32,18/32,20/32",IF(C362=0.8621,"20/32,20/3218/32",IF(C362=0.9204,"20/32,20/32,20/32",IF(C362=0.9848,"20/32,20/32,22/32",IF(C362=1.0492,"20/32,22/32,22/32",IF(C362=1.1137,"22/32,22/32,22/32",IF(C362=1.1842,"22/32,22/32,24/32",IF(C362=1.2548,"24/32,24/32,22/32",IF(C362=1.3254,"24/32,24/32,24/32",IF(C362=1.4021,"24/32,24/32,26/32",IF(C362=1.4788,"26/32,26/32,24/32",IF(C362=1.5555,"26/32,26/32,26/32")))))))))))))))))))))))))))))))))))))))))))</f>
        <v>10/32,10/32,11/32</v>
      </c>
      <c r="F362" s="390" t="s">
        <v>434</v>
      </c>
    </row>
    <row r="363" spans="1:10" outlineLevel="1" x14ac:dyDescent="0.2">
      <c r="A363" s="442" t="s">
        <v>191</v>
      </c>
      <c r="B363" s="442"/>
      <c r="C363" s="390">
        <f>(C337*(C349^2))/((C362^2)*10858)</f>
        <v>1406.1599661823457</v>
      </c>
      <c r="D363" s="390" t="s">
        <v>434</v>
      </c>
      <c r="F363" s="390" t="s">
        <v>434</v>
      </c>
    </row>
    <row r="364" spans="1:10" outlineLevel="1" x14ac:dyDescent="0.2">
      <c r="A364" s="442" t="s">
        <v>192</v>
      </c>
      <c r="B364" s="442"/>
      <c r="C364" s="390">
        <f>((C360-C363)*E315)/(C356+C358)</f>
        <v>436.21504662629798</v>
      </c>
      <c r="D364" s="390" t="s">
        <v>435</v>
      </c>
      <c r="E364" s="390" t="s">
        <v>435</v>
      </c>
      <c r="F364" s="390" t="s">
        <v>435</v>
      </c>
    </row>
    <row r="365" spans="1:10" outlineLevel="1" x14ac:dyDescent="0.2">
      <c r="A365" s="443" t="s">
        <v>193</v>
      </c>
      <c r="B365" s="443"/>
      <c r="C365" s="390">
        <f>E317+E315+C364</f>
        <v>9713.2825235087294</v>
      </c>
      <c r="E365" s="391"/>
      <c r="F365" s="391"/>
    </row>
    <row r="366" spans="1:10" outlineLevel="1" x14ac:dyDescent="0.2">
      <c r="A366" s="442" t="s">
        <v>194</v>
      </c>
      <c r="B366" s="442"/>
      <c r="C366" s="390">
        <f>(0.32086*C349)/(C362)</f>
        <v>355.32289080436334</v>
      </c>
      <c r="D366" s="390" t="s">
        <v>241</v>
      </c>
    </row>
    <row r="367" spans="1:10" outlineLevel="1" x14ac:dyDescent="0.2">
      <c r="A367" s="442" t="s">
        <v>195</v>
      </c>
      <c r="B367" s="442"/>
      <c r="C367" s="390">
        <f>(615*(10^-6)*C337*C349*C366)</f>
        <v>741.7598295141313</v>
      </c>
    </row>
    <row r="368" spans="1:10" outlineLevel="1" x14ac:dyDescent="0.2">
      <c r="A368" s="442" t="s">
        <v>196</v>
      </c>
      <c r="B368" s="442"/>
      <c r="C368" s="390">
        <f>(C349*C363)/1714</f>
        <v>223.6760928198174</v>
      </c>
    </row>
    <row r="369" spans="1:6" outlineLevel="1" x14ac:dyDescent="0.2">
      <c r="A369" s="443" t="s">
        <v>197</v>
      </c>
      <c r="B369" s="443"/>
      <c r="C369" s="390">
        <f>C368/(3.141592654*((B335^2)/4))</f>
        <v>7.2304248501595518</v>
      </c>
      <c r="D369" s="389" t="s">
        <v>242</v>
      </c>
      <c r="E369" s="391"/>
      <c r="F369" s="391"/>
    </row>
    <row r="370" spans="1:6" outlineLevel="1" x14ac:dyDescent="0.2">
      <c r="A370" s="443" t="s">
        <v>198</v>
      </c>
      <c r="B370" s="443"/>
      <c r="C370" s="390">
        <f>(C349*B331)/1714</f>
        <v>477.20621735609546</v>
      </c>
      <c r="E370" s="391"/>
      <c r="F370" s="391"/>
    </row>
    <row r="371" spans="1:6" outlineLevel="1" x14ac:dyDescent="0.2">
      <c r="A371" s="442" t="s">
        <v>199</v>
      </c>
      <c r="B371" s="442"/>
      <c r="C371" s="383">
        <f>C368/C370</f>
        <v>0.46871998872744847</v>
      </c>
      <c r="D371" s="390">
        <v>66</v>
      </c>
    </row>
    <row r="377" spans="1:6" x14ac:dyDescent="0.2">
      <c r="A377" s="390" t="s">
        <v>437</v>
      </c>
    </row>
    <row r="378" spans="1:6" x14ac:dyDescent="0.2">
      <c r="A378" s="390" t="s">
        <v>438</v>
      </c>
    </row>
    <row r="379" spans="1:6" x14ac:dyDescent="0.2">
      <c r="A379" s="390" t="s">
        <v>439</v>
      </c>
    </row>
    <row r="386" spans="1:7" x14ac:dyDescent="0.2">
      <c r="B386" s="384" t="s">
        <v>440</v>
      </c>
      <c r="C386" s="390" t="s">
        <v>433</v>
      </c>
      <c r="D386" s="390" t="s">
        <v>235</v>
      </c>
      <c r="E386" s="390" t="s">
        <v>194</v>
      </c>
      <c r="F386" s="391" t="s">
        <v>197</v>
      </c>
      <c r="G386" s="390" t="s">
        <v>199</v>
      </c>
    </row>
    <row r="387" spans="1:7" x14ac:dyDescent="0.2">
      <c r="A387" s="390" t="s">
        <v>443</v>
      </c>
      <c r="B387" s="390">
        <f>E39</f>
        <v>25.044442501602845</v>
      </c>
      <c r="C387" s="390">
        <f>E42</f>
        <v>6.25</v>
      </c>
      <c r="D387" s="390" t="str">
        <f>E52</f>
        <v>18/32,16/32,16/32</v>
      </c>
      <c r="E387" s="390">
        <f>C56</f>
        <v>486.73480312186342</v>
      </c>
      <c r="F387" s="390">
        <f>C59</f>
        <v>2.6086430727239636</v>
      </c>
      <c r="G387" s="383">
        <f>C61</f>
        <v>0.87246800363890731</v>
      </c>
    </row>
    <row r="388" spans="1:7" x14ac:dyDescent="0.2">
      <c r="A388" s="390" t="s">
        <v>444</v>
      </c>
      <c r="B388" s="390">
        <f>E101</f>
        <v>10.598808066678325</v>
      </c>
      <c r="C388" s="390">
        <f>E104</f>
        <v>5.75</v>
      </c>
      <c r="D388" s="390" t="str">
        <f>E114</f>
        <v>13/32,13/32,12/32</v>
      </c>
      <c r="E388" s="390">
        <f>C118</f>
        <v>386.34246514342732</v>
      </c>
      <c r="F388" s="390">
        <f>C121</f>
        <v>2.4364171548900746</v>
      </c>
      <c r="G388" s="383">
        <f>C123</f>
        <v>0.88660867619403227</v>
      </c>
    </row>
    <row r="389" spans="1:7" x14ac:dyDescent="0.2">
      <c r="A389" s="390" t="s">
        <v>445</v>
      </c>
      <c r="B389" s="390">
        <f>E163</f>
        <v>15.707874337005302</v>
      </c>
      <c r="C389" s="390">
        <f>E166</f>
        <v>7</v>
      </c>
      <c r="D389" s="390" t="str">
        <f>E176</f>
        <v>13/32,13/32,13/32</v>
      </c>
      <c r="E389" s="390">
        <f>C180</f>
        <v>544.30753281152954</v>
      </c>
      <c r="F389" s="390">
        <f>C183</f>
        <v>5.6985661687645717</v>
      </c>
      <c r="G389" s="383">
        <f>C185</f>
        <v>0.84326169242161642</v>
      </c>
    </row>
    <row r="390" spans="1:7" x14ac:dyDescent="0.2">
      <c r="A390" s="390" t="s">
        <v>446</v>
      </c>
      <c r="B390" s="390">
        <f>E225</f>
        <v>8.8356793145654837</v>
      </c>
      <c r="C390" s="390">
        <f>E228</f>
        <v>5.25</v>
      </c>
      <c r="D390" s="390" t="str">
        <f>E238</f>
        <v>10/32,10/32,11/32</v>
      </c>
      <c r="E390" s="390">
        <f>C242</f>
        <v>483.63393470593905</v>
      </c>
      <c r="F390" s="390">
        <f>C245</f>
        <v>5.1046617580576292</v>
      </c>
      <c r="G390" s="383">
        <f>C247</f>
        <v>0.92625242216839831</v>
      </c>
    </row>
    <row r="391" spans="1:7" x14ac:dyDescent="0.2">
      <c r="A391" s="390" t="s">
        <v>447</v>
      </c>
      <c r="B391" s="390">
        <f>E287</f>
        <v>6.4915194964154566</v>
      </c>
      <c r="C391" s="390">
        <f>E290</f>
        <v>4.5</v>
      </c>
      <c r="D391" s="390" t="str">
        <f>E300</f>
        <v>9/32,9/32,10/32</v>
      </c>
      <c r="E391" s="390">
        <f>C304</f>
        <v>435.22634684594152</v>
      </c>
      <c r="F391" s="390">
        <f>C307</f>
        <v>6.3286837107088543</v>
      </c>
      <c r="G391" s="383">
        <f>C309</f>
        <v>0.84387613079440416</v>
      </c>
    </row>
    <row r="392" spans="1:7" x14ac:dyDescent="0.2">
      <c r="A392" s="390" t="s">
        <v>442</v>
      </c>
      <c r="B392" s="390">
        <f>E349</f>
        <v>6.4915194964154566</v>
      </c>
      <c r="C392" s="390">
        <f>E352</f>
        <v>4.5</v>
      </c>
      <c r="D392" s="390" t="str">
        <f>E362</f>
        <v>10/32,10/32,11/32</v>
      </c>
      <c r="E392" s="382">
        <f>C366</f>
        <v>355.32289080436334</v>
      </c>
      <c r="F392" s="390">
        <f>C369</f>
        <v>7.2304248501595518</v>
      </c>
      <c r="G392" s="383">
        <f>C371</f>
        <v>0.46871998872744847</v>
      </c>
    </row>
  </sheetData>
  <mergeCells count="226">
    <mergeCell ref="AM19:AM20"/>
    <mergeCell ref="AN19:AN20"/>
    <mergeCell ref="AO19:AO20"/>
    <mergeCell ref="AP19:AP20"/>
    <mergeCell ref="AM21:AM22"/>
    <mergeCell ref="AN21:AN22"/>
    <mergeCell ref="AO21:AO22"/>
    <mergeCell ref="AP21:AP22"/>
    <mergeCell ref="AM15:AM16"/>
    <mergeCell ref="AN15:AN16"/>
    <mergeCell ref="AO15:AO16"/>
    <mergeCell ref="AP15:AP16"/>
    <mergeCell ref="AM13:BC13"/>
    <mergeCell ref="AM17:AM18"/>
    <mergeCell ref="AN17:AN18"/>
    <mergeCell ref="AO17:AO18"/>
    <mergeCell ref="AP17:AP18"/>
    <mergeCell ref="X5:X6"/>
    <mergeCell ref="Y5:Y6"/>
    <mergeCell ref="Z5:Z6"/>
    <mergeCell ref="AA5:AA6"/>
    <mergeCell ref="AB5:AB6"/>
    <mergeCell ref="AC5:AC6"/>
    <mergeCell ref="AD5:AD6"/>
    <mergeCell ref="AE5:AE6"/>
    <mergeCell ref="O5:O6"/>
    <mergeCell ref="P5:P6"/>
    <mergeCell ref="Q5:Q6"/>
    <mergeCell ref="R5:R6"/>
    <mergeCell ref="S5:S6"/>
    <mergeCell ref="T5:T6"/>
    <mergeCell ref="U5:U6"/>
    <mergeCell ref="V5:V6"/>
    <mergeCell ref="W5:W6"/>
    <mergeCell ref="A369:B369"/>
    <mergeCell ref="A370:B370"/>
    <mergeCell ref="A371:B371"/>
    <mergeCell ref="A364:B364"/>
    <mergeCell ref="A365:B365"/>
    <mergeCell ref="A366:B366"/>
    <mergeCell ref="A367:B367"/>
    <mergeCell ref="A368:B368"/>
    <mergeCell ref="A359:B359"/>
    <mergeCell ref="A360:B360"/>
    <mergeCell ref="A361:B361"/>
    <mergeCell ref="A362:B362"/>
    <mergeCell ref="A363:B363"/>
    <mergeCell ref="A354:B354"/>
    <mergeCell ref="A355:B355"/>
    <mergeCell ref="A356:B356"/>
    <mergeCell ref="A357:B357"/>
    <mergeCell ref="A358:B358"/>
    <mergeCell ref="A349:B349"/>
    <mergeCell ref="A350:B350"/>
    <mergeCell ref="A351:B351"/>
    <mergeCell ref="A352:B352"/>
    <mergeCell ref="A353:B353"/>
    <mergeCell ref="A344:B344"/>
    <mergeCell ref="A345:B345"/>
    <mergeCell ref="A346:B346"/>
    <mergeCell ref="A347:B347"/>
    <mergeCell ref="A348:B348"/>
    <mergeCell ref="A309:B309"/>
    <mergeCell ref="A311:F312"/>
    <mergeCell ref="A341:B341"/>
    <mergeCell ref="A342:B342"/>
    <mergeCell ref="A343:B343"/>
    <mergeCell ref="A304:B304"/>
    <mergeCell ref="A305:B305"/>
    <mergeCell ref="A306:B306"/>
    <mergeCell ref="A307:B307"/>
    <mergeCell ref="A308:B308"/>
    <mergeCell ref="A299:B299"/>
    <mergeCell ref="A300:B300"/>
    <mergeCell ref="A301:B301"/>
    <mergeCell ref="A302:B302"/>
    <mergeCell ref="A303:B303"/>
    <mergeCell ref="A294:B294"/>
    <mergeCell ref="A295:B295"/>
    <mergeCell ref="A296:B296"/>
    <mergeCell ref="A297:B297"/>
    <mergeCell ref="A298:B298"/>
    <mergeCell ref="A289:B289"/>
    <mergeCell ref="A290:B290"/>
    <mergeCell ref="A291:B291"/>
    <mergeCell ref="A292:B292"/>
    <mergeCell ref="A293:B293"/>
    <mergeCell ref="A284:B284"/>
    <mergeCell ref="A285:B285"/>
    <mergeCell ref="A286:B286"/>
    <mergeCell ref="A287:B287"/>
    <mergeCell ref="A288:B288"/>
    <mergeCell ref="A279:B279"/>
    <mergeCell ref="A280:B280"/>
    <mergeCell ref="A281:B281"/>
    <mergeCell ref="A282:B282"/>
    <mergeCell ref="A283:B283"/>
    <mergeCell ref="A244:B244"/>
    <mergeCell ref="A245:B245"/>
    <mergeCell ref="A246:B246"/>
    <mergeCell ref="A247:B247"/>
    <mergeCell ref="A249:F250"/>
    <mergeCell ref="A239:B239"/>
    <mergeCell ref="A240:B240"/>
    <mergeCell ref="A241:B241"/>
    <mergeCell ref="A242:B242"/>
    <mergeCell ref="A243:B243"/>
    <mergeCell ref="A234:B234"/>
    <mergeCell ref="A235:B235"/>
    <mergeCell ref="A236:B236"/>
    <mergeCell ref="A237:B237"/>
    <mergeCell ref="A238:B238"/>
    <mergeCell ref="A229:B229"/>
    <mergeCell ref="A230:B230"/>
    <mergeCell ref="A231:B231"/>
    <mergeCell ref="A232:B232"/>
    <mergeCell ref="A233:B233"/>
    <mergeCell ref="A226:B226"/>
    <mergeCell ref="A227:B227"/>
    <mergeCell ref="A228:B228"/>
    <mergeCell ref="A184:B184"/>
    <mergeCell ref="A185:B185"/>
    <mergeCell ref="A187:F188"/>
    <mergeCell ref="A179:B179"/>
    <mergeCell ref="A180:B180"/>
    <mergeCell ref="A181:B181"/>
    <mergeCell ref="A182:B182"/>
    <mergeCell ref="A183:B183"/>
    <mergeCell ref="A217:B217"/>
    <mergeCell ref="A218:B218"/>
    <mergeCell ref="A219:B219"/>
    <mergeCell ref="A220:B220"/>
    <mergeCell ref="A221:B221"/>
    <mergeCell ref="A222:B222"/>
    <mergeCell ref="A223:B223"/>
    <mergeCell ref="A224:B224"/>
    <mergeCell ref="A225:B225"/>
    <mergeCell ref="A175:B175"/>
    <mergeCell ref="A176:B176"/>
    <mergeCell ref="A177:B177"/>
    <mergeCell ref="A178:B178"/>
    <mergeCell ref="A169:B169"/>
    <mergeCell ref="A170:B170"/>
    <mergeCell ref="A171:B171"/>
    <mergeCell ref="A172:B172"/>
    <mergeCell ref="A173:B173"/>
    <mergeCell ref="A174:B174"/>
    <mergeCell ref="A36:B36"/>
    <mergeCell ref="A1:F2"/>
    <mergeCell ref="A31:B31"/>
    <mergeCell ref="A32:B32"/>
    <mergeCell ref="A33:B33"/>
    <mergeCell ref="A34:B34"/>
    <mergeCell ref="A35:B35"/>
    <mergeCell ref="A48:B48"/>
    <mergeCell ref="A37:B37"/>
    <mergeCell ref="A38:B38"/>
    <mergeCell ref="A39:B39"/>
    <mergeCell ref="A40:B40"/>
    <mergeCell ref="A41:B41"/>
    <mergeCell ref="A42:B42"/>
    <mergeCell ref="A43:B43"/>
    <mergeCell ref="A44:B44"/>
    <mergeCell ref="A45:B45"/>
    <mergeCell ref="A46:B46"/>
    <mergeCell ref="A47:B47"/>
    <mergeCell ref="A60:B60"/>
    <mergeCell ref="A49:B49"/>
    <mergeCell ref="A50:B50"/>
    <mergeCell ref="A51:B51"/>
    <mergeCell ref="A52:B52"/>
    <mergeCell ref="A53:B53"/>
    <mergeCell ref="A54:B54"/>
    <mergeCell ref="A55:B55"/>
    <mergeCell ref="A56:B56"/>
    <mergeCell ref="A57:B57"/>
    <mergeCell ref="A58:B58"/>
    <mergeCell ref="A59:B59"/>
    <mergeCell ref="A103:B103"/>
    <mergeCell ref="A104:B104"/>
    <mergeCell ref="A105:B105"/>
    <mergeCell ref="A106:B106"/>
    <mergeCell ref="A107:B107"/>
    <mergeCell ref="A108:B108"/>
    <mergeCell ref="A109:B109"/>
    <mergeCell ref="A110:B110"/>
    <mergeCell ref="A111:B111"/>
    <mergeCell ref="A102:B102"/>
    <mergeCell ref="A61:B61"/>
    <mergeCell ref="A93:B93"/>
    <mergeCell ref="A94:B94"/>
    <mergeCell ref="A95:B95"/>
    <mergeCell ref="A96:B96"/>
    <mergeCell ref="A97:B97"/>
    <mergeCell ref="A98:B98"/>
    <mergeCell ref="A99:B99"/>
    <mergeCell ref="A100:B100"/>
    <mergeCell ref="A101:B101"/>
    <mergeCell ref="A63:F64"/>
    <mergeCell ref="A114:B114"/>
    <mergeCell ref="A125:F126"/>
    <mergeCell ref="A155:B155"/>
    <mergeCell ref="A156:B156"/>
    <mergeCell ref="A157:B157"/>
    <mergeCell ref="A158:B158"/>
    <mergeCell ref="A123:B123"/>
    <mergeCell ref="A112:B112"/>
    <mergeCell ref="A113:B113"/>
    <mergeCell ref="A121:B121"/>
    <mergeCell ref="A122:B122"/>
    <mergeCell ref="A115:B115"/>
    <mergeCell ref="A116:B116"/>
    <mergeCell ref="A117:B117"/>
    <mergeCell ref="A118:B118"/>
    <mergeCell ref="A119:B119"/>
    <mergeCell ref="A120:B120"/>
    <mergeCell ref="A164:B164"/>
    <mergeCell ref="A165:B165"/>
    <mergeCell ref="A166:B166"/>
    <mergeCell ref="A167:B167"/>
    <mergeCell ref="A168:B168"/>
    <mergeCell ref="A159:B159"/>
    <mergeCell ref="A160:B160"/>
    <mergeCell ref="A161:B161"/>
    <mergeCell ref="A162:B162"/>
    <mergeCell ref="A163:B163"/>
  </mergeCells>
  <dataValidations count="3">
    <dataValidation type="list" allowBlank="1" showInputMessage="1" showErrorMessage="1" sqref="B22:D22 B332:D332 B270:D270 B208:D208 B146:D146 B84:D84 K21" xr:uid="{00000000-0002-0000-0600-000000000000}">
      <formula1>"Dublex,Triblex"</formula1>
    </dataValidation>
    <dataValidation type="list" allowBlank="1" showInputMessage="1" showErrorMessage="1" sqref="B14 B324 D324:E324 B262 D262:E262 B200 D200:E200 B138 D138:E138 B76 D76:E76 K13" xr:uid="{00000000-0002-0000-0600-000001000000}">
      <formula1>"National Supply,Bethlehem,Continental-Emesco,Gardner-Denver,Ideco,Oil Well"</formula1>
    </dataValidation>
    <dataValidation type="list" allowBlank="1" showInputMessage="1" showErrorMessage="1" sqref="D5 C325 D315 C263 D253 C201 D191 C139 D129 C77 C15 D67" xr:uid="{00000000-0002-0000-0600-000002000000}">
      <formula1>"1,2,3,4"</formula1>
    </dataValidation>
  </dataValidations>
  <hyperlinks>
    <hyperlink ref="J5" r:id="rId1" tooltip="a" xr:uid="{00000000-0004-0000-0600-000000000000}"/>
  </hyperlinks>
  <printOptions gridLines="1"/>
  <pageMargins left="1.99" right="0.36" top="0.74" bottom="0.75" header="0.37" footer="0.3"/>
  <pageSetup paperSize="9" orientation="landscape" horizontalDpi="300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1"/>
  </sheetPr>
  <dimension ref="A1:M86"/>
  <sheetViews>
    <sheetView workbookViewId="0">
      <selection activeCell="E7" sqref="E7"/>
    </sheetView>
  </sheetViews>
  <sheetFormatPr defaultColWidth="9.140625" defaultRowHeight="12" x14ac:dyDescent="0.2"/>
  <cols>
    <col min="1" max="1" width="15.85546875" style="275" customWidth="1"/>
    <col min="2" max="2" width="29.140625" style="275" customWidth="1"/>
    <col min="3" max="3" width="23" style="275" customWidth="1"/>
    <col min="4" max="4" width="22.28515625" style="275" customWidth="1"/>
    <col min="5" max="5" width="19.7109375" style="275" customWidth="1"/>
    <col min="6" max="6" width="16.5703125" style="275" customWidth="1"/>
    <col min="7" max="7" width="19.7109375" style="275" customWidth="1"/>
    <col min="8" max="8" width="24.140625" style="275" customWidth="1"/>
    <col min="9" max="9" width="17.5703125" style="275" customWidth="1"/>
    <col min="10" max="10" width="14.42578125" style="275" customWidth="1"/>
    <col min="11" max="11" width="18.85546875" style="275" customWidth="1"/>
    <col min="12" max="12" width="18.28515625" style="275" customWidth="1"/>
    <col min="13" max="13" width="20.140625" style="275" customWidth="1"/>
    <col min="14" max="14" width="17.140625" style="275" customWidth="1"/>
    <col min="15" max="15" width="15.85546875" style="275" customWidth="1"/>
    <col min="16" max="16384" width="9.140625" style="275"/>
  </cols>
  <sheetData>
    <row r="1" spans="2:8" x14ac:dyDescent="0.2">
      <c r="B1" s="302"/>
      <c r="C1" s="302"/>
    </row>
    <row r="2" spans="2:8" ht="12" customHeight="1" x14ac:dyDescent="0.2">
      <c r="B2" s="448" t="s">
        <v>322</v>
      </c>
      <c r="C2" s="302"/>
    </row>
    <row r="3" spans="2:8" ht="12" customHeight="1" x14ac:dyDescent="0.2">
      <c r="B3" s="448"/>
    </row>
    <row r="4" spans="2:8" ht="12.75" thickBot="1" x14ac:dyDescent="0.25"/>
    <row r="5" spans="2:8" ht="12.75" thickBot="1" x14ac:dyDescent="0.25">
      <c r="C5" s="212" t="s">
        <v>218</v>
      </c>
      <c r="D5" s="212" t="s">
        <v>219</v>
      </c>
      <c r="E5" s="212" t="s">
        <v>220</v>
      </c>
      <c r="F5" s="212" t="s">
        <v>221</v>
      </c>
      <c r="G5" s="212" t="s">
        <v>222</v>
      </c>
      <c r="H5" s="213" t="s">
        <v>223</v>
      </c>
    </row>
    <row r="6" spans="2:8" x14ac:dyDescent="0.2">
      <c r="B6" s="274" t="s">
        <v>239</v>
      </c>
      <c r="C6" s="211">
        <f>'Systems Data'!F16</f>
        <v>350</v>
      </c>
      <c r="D6" s="211">
        <f>'Systems Data'!H16</f>
        <v>350</v>
      </c>
      <c r="E6" s="211">
        <f>'Systems Data'!I16</f>
        <v>250</v>
      </c>
      <c r="F6" s="211">
        <f>'Systems Data'!J16</f>
        <v>500</v>
      </c>
      <c r="G6" s="211">
        <f>'Systems Data'!K16</f>
        <v>300</v>
      </c>
      <c r="H6" s="211">
        <f>'Systems Data'!L16</f>
        <v>3</v>
      </c>
    </row>
    <row r="7" spans="2:8" x14ac:dyDescent="0.2">
      <c r="B7" s="217" t="s">
        <v>238</v>
      </c>
      <c r="C7" s="211">
        <f>(C6*5.615)/('Systems Data'!F19/12)</f>
        <v>262.03333333333336</v>
      </c>
      <c r="D7" s="211">
        <f>(D6*5.615)/('Systems Data'!H19/12)</f>
        <v>262.03333333333336</v>
      </c>
      <c r="E7" s="211">
        <f>(E6*5.615)/('Systems Data'!I19/12)</f>
        <v>187.16666666666666</v>
      </c>
      <c r="F7" s="211">
        <f>(F6*5.615)/('Systems Data'!J19/12)</f>
        <v>374.33333333333331</v>
      </c>
      <c r="G7" s="211">
        <f>(G6*5.615)/('Systems Data'!K19/12)</f>
        <v>224.6</v>
      </c>
      <c r="H7" s="211"/>
    </row>
    <row r="8" spans="2:8" x14ac:dyDescent="0.2">
      <c r="B8" s="217" t="s">
        <v>237</v>
      </c>
      <c r="C8" s="211">
        <f>('Systems Data'!F17+'Systems Data'!F18)/12</f>
        <v>0.66666666666666663</v>
      </c>
      <c r="D8" s="211">
        <f>('Systems Data'!H17+'Systems Data'!H18)/12</f>
        <v>1.25</v>
      </c>
      <c r="E8" s="211">
        <f>('Systems Data'!I17+'Systems Data'!I18)/12</f>
        <v>0.66666666666666663</v>
      </c>
      <c r="F8" s="211">
        <f>('Systems Data'!J17+'Systems Data'!J18)/12</f>
        <v>0.66666666666666663</v>
      </c>
      <c r="G8" s="211">
        <f>('Systems Data'!K17+'Systems Data'!K18)/12</f>
        <v>0.66666666666666663</v>
      </c>
      <c r="H8" s="211"/>
    </row>
    <row r="9" spans="2:8" x14ac:dyDescent="0.2">
      <c r="B9" s="217" t="s">
        <v>236</v>
      </c>
      <c r="C9" s="211">
        <f>C8*C7/5.615</f>
        <v>31.111111111111111</v>
      </c>
      <c r="D9" s="211">
        <f>D8*D7/5.615</f>
        <v>58.333333333333336</v>
      </c>
      <c r="E9" s="211">
        <f>E8*E7/5.615</f>
        <v>22.222222222222221</v>
      </c>
      <c r="F9" s="211">
        <f>F8*F7/5.615</f>
        <v>44.444444444444443</v>
      </c>
      <c r="G9" s="211">
        <f>G8*G7/5.615</f>
        <v>26.666666666666664</v>
      </c>
      <c r="H9" s="211"/>
    </row>
    <row r="10" spans="2:8" ht="12.75" thickBot="1" x14ac:dyDescent="0.25">
      <c r="B10" s="218" t="s">
        <v>290</v>
      </c>
      <c r="C10" s="211">
        <f>((C6-C9-'Systems Data'!F20))</f>
        <v>314.88888888888891</v>
      </c>
      <c r="D10" s="211">
        <f>D6-D9-'Systems Data'!H20</f>
        <v>287.66666666666669</v>
      </c>
      <c r="E10" s="211">
        <f>E6-E9-'Systems Data'!I20</f>
        <v>224.77777777777777</v>
      </c>
      <c r="F10" s="211">
        <f>F6-F9-'Systems Data'!J20</f>
        <v>453.05555555555554</v>
      </c>
      <c r="G10" s="211">
        <f>G6-G9-'Systems Data'!K20</f>
        <v>270.83333333333331</v>
      </c>
      <c r="H10" s="211"/>
    </row>
    <row r="12" spans="2:8" ht="12.75" thickBot="1" x14ac:dyDescent="0.25"/>
    <row r="13" spans="2:8" ht="12.75" thickBot="1" x14ac:dyDescent="0.25">
      <c r="B13" s="214" t="s">
        <v>291</v>
      </c>
      <c r="C13" s="219">
        <f>SUM(C10:E10)</f>
        <v>827.33333333333348</v>
      </c>
    </row>
    <row r="14" spans="2:8" x14ac:dyDescent="0.2">
      <c r="G14" s="207"/>
      <c r="H14" s="30"/>
    </row>
    <row r="15" spans="2:8" ht="15" customHeight="1" x14ac:dyDescent="0.2">
      <c r="G15" s="207"/>
      <c r="H15" s="30"/>
    </row>
    <row r="16" spans="2:8" ht="15.75" customHeight="1" x14ac:dyDescent="0.2">
      <c r="G16" s="207"/>
      <c r="H16" s="30"/>
    </row>
    <row r="17" spans="1:13" x14ac:dyDescent="0.2">
      <c r="B17" s="206"/>
      <c r="C17" s="207"/>
    </row>
    <row r="18" spans="1:13" x14ac:dyDescent="0.2">
      <c r="B18" s="206"/>
      <c r="C18" s="207"/>
      <c r="M18" s="276"/>
    </row>
    <row r="20" spans="1:13" ht="12.75" thickBot="1" x14ac:dyDescent="0.25"/>
    <row r="21" spans="1:13" ht="12.75" thickBot="1" x14ac:dyDescent="0.25">
      <c r="B21" s="450" t="s">
        <v>240</v>
      </c>
      <c r="C21" s="451"/>
      <c r="D21" s="451"/>
      <c r="E21" s="452"/>
    </row>
    <row r="22" spans="1:13" ht="12.75" thickBot="1" x14ac:dyDescent="0.25"/>
    <row r="23" spans="1:13" x14ac:dyDescent="0.2">
      <c r="B23" s="215" t="s">
        <v>262</v>
      </c>
      <c r="C23" s="216" t="s">
        <v>278</v>
      </c>
      <c r="D23" s="216" t="s">
        <v>91</v>
      </c>
      <c r="E23" s="267" t="s">
        <v>92</v>
      </c>
      <c r="F23" s="216" t="s">
        <v>88</v>
      </c>
      <c r="G23" s="216" t="s">
        <v>59</v>
      </c>
      <c r="H23" s="216" t="s">
        <v>93</v>
      </c>
      <c r="I23" s="267" t="s">
        <v>280</v>
      </c>
      <c r="J23" s="215" t="s">
        <v>263</v>
      </c>
      <c r="K23" s="216" t="s">
        <v>279</v>
      </c>
      <c r="L23" s="216" t="s">
        <v>281</v>
      </c>
    </row>
    <row r="24" spans="1:13" x14ac:dyDescent="0.2">
      <c r="B24" s="217" t="s">
        <v>264</v>
      </c>
      <c r="C24" s="269">
        <v>20</v>
      </c>
      <c r="D24" s="270">
        <f>'1.Casing design'!M30</f>
        <v>0</v>
      </c>
      <c r="E24" s="270">
        <f>'1.Casing design'!N30</f>
        <v>984.25196850393695</v>
      </c>
      <c r="F24" s="270">
        <f>E24-D24</f>
        <v>984.25196850393695</v>
      </c>
      <c r="G24" s="266" t="s">
        <v>124</v>
      </c>
      <c r="H24" s="269" t="s">
        <v>252</v>
      </c>
      <c r="I24" s="266">
        <v>19</v>
      </c>
      <c r="J24" s="266">
        <v>0</v>
      </c>
      <c r="K24" s="266">
        <f>((I24^2)/1029)*F24</f>
        <v>345.30122510196429</v>
      </c>
      <c r="L24" s="270">
        <f>F24-'1.Casing design'!C2</f>
        <v>853.01837270341207</v>
      </c>
    </row>
    <row r="25" spans="1:13" x14ac:dyDescent="0.2">
      <c r="B25" s="217" t="s">
        <v>265</v>
      </c>
      <c r="C25" s="299">
        <v>13.375</v>
      </c>
      <c r="D25" s="300">
        <f>'1.Casing design'!U61</f>
        <v>0</v>
      </c>
      <c r="E25" s="300">
        <f>'1.Casing design'!V61</f>
        <v>1961.9422572178478</v>
      </c>
      <c r="F25" s="300">
        <f t="shared" ref="F25:F30" si="0">E25-D25</f>
        <v>1961.9422572178478</v>
      </c>
      <c r="G25" s="294" t="s">
        <v>87</v>
      </c>
      <c r="H25" s="301" t="s">
        <v>252</v>
      </c>
      <c r="I25" s="294">
        <v>12.515000000000001</v>
      </c>
      <c r="J25" s="294">
        <f>('Systems Data'!G7^2)/1029</f>
        <v>2.2185893100097179E-2</v>
      </c>
      <c r="K25" s="294">
        <f>((I25^2)/1029)*F25</f>
        <v>298.62939501822478</v>
      </c>
      <c r="L25" s="300">
        <f>F25-F24</f>
        <v>977.69028871391083</v>
      </c>
    </row>
    <row r="26" spans="1:13" x14ac:dyDescent="0.2">
      <c r="B26" s="217" t="s">
        <v>266</v>
      </c>
      <c r="C26" s="298">
        <v>11.75</v>
      </c>
      <c r="D26" s="270">
        <f>'1.Casing design'!U91</f>
        <v>0</v>
      </c>
      <c r="E26" s="270">
        <f>'1.Casing design'!V91</f>
        <v>2414.1181137653084</v>
      </c>
      <c r="F26" s="270">
        <f t="shared" si="0"/>
        <v>2414.1181137653084</v>
      </c>
      <c r="G26" s="266" t="s">
        <v>99</v>
      </c>
      <c r="H26" s="269" t="s">
        <v>252</v>
      </c>
      <c r="I26" s="266">
        <v>11.084</v>
      </c>
      <c r="J26" s="266">
        <f>('Systems Data'!H7^2)/1029</f>
        <v>1.7768878522837706E-2</v>
      </c>
      <c r="K26" s="266">
        <f>((I26^2)/1029)*F26</f>
        <v>288.22800394290698</v>
      </c>
      <c r="L26" s="270">
        <f>F26-F25</f>
        <v>452.17585654746063</v>
      </c>
    </row>
    <row r="27" spans="1:13" x14ac:dyDescent="0.2">
      <c r="A27" s="277" t="s">
        <v>298</v>
      </c>
      <c r="B27" s="217" t="s">
        <v>267</v>
      </c>
      <c r="C27" s="321">
        <v>9.625</v>
      </c>
      <c r="D27" s="323">
        <f>'1.Casing design'!U126</f>
        <v>2314.1181137653084</v>
      </c>
      <c r="E27" s="323">
        <f>'1.Casing design'!V126</f>
        <v>2849.8897708377035</v>
      </c>
      <c r="F27" s="323">
        <f t="shared" si="0"/>
        <v>535.7716570723951</v>
      </c>
      <c r="G27" s="324" t="s">
        <v>118</v>
      </c>
      <c r="H27" s="325" t="s">
        <v>252</v>
      </c>
      <c r="I27" s="324">
        <v>9.0009999999999994</v>
      </c>
      <c r="J27" s="324">
        <f>('Systems Data'!I7^2)/1029</f>
        <v>1.7768878522837706E-2</v>
      </c>
      <c r="K27" s="324">
        <f>(((I26^2)/1029)*(F26-100))+((I27^2)/1029)*(F27)</f>
        <v>318.47255501041229</v>
      </c>
      <c r="L27" s="323">
        <f>F27-100</f>
        <v>435.7716570723951</v>
      </c>
    </row>
    <row r="28" spans="1:13" x14ac:dyDescent="0.2">
      <c r="B28" s="217" t="s">
        <v>268</v>
      </c>
      <c r="C28" s="301">
        <v>7</v>
      </c>
      <c r="D28" s="300">
        <f>'1.Casing design'!U165</f>
        <v>0</v>
      </c>
      <c r="E28" s="300">
        <f>'1.Casing design'!V165</f>
        <v>3751.4654807355018</v>
      </c>
      <c r="F28" s="300">
        <f t="shared" si="0"/>
        <v>3751.4654807355018</v>
      </c>
      <c r="G28" s="294" t="s">
        <v>244</v>
      </c>
      <c r="H28" s="301" t="s">
        <v>260</v>
      </c>
      <c r="I28" s="294">
        <v>6.2759999999999998</v>
      </c>
      <c r="J28" s="294">
        <f>('Systems Data'!J7^2)/1029</f>
        <v>1.7768878522837706E-2</v>
      </c>
      <c r="K28" s="449">
        <f>(((I28^2)/1029)*F28)+(((I29^2)/1029)*(F29))</f>
        <v>273.0747201337507</v>
      </c>
      <c r="L28" s="449">
        <f>E29-E27</f>
        <v>4385.4679248701823</v>
      </c>
    </row>
    <row r="29" spans="1:13" x14ac:dyDescent="0.2">
      <c r="B29" s="217" t="s">
        <v>268</v>
      </c>
      <c r="C29" s="301">
        <v>7</v>
      </c>
      <c r="D29" s="300">
        <f>'1.Casing design'!U166</f>
        <v>3751.4654807355018</v>
      </c>
      <c r="E29" s="300">
        <f>'1.Casing design'!V166</f>
        <v>7235.3576957078858</v>
      </c>
      <c r="F29" s="300">
        <f t="shared" si="0"/>
        <v>3483.892214972384</v>
      </c>
      <c r="G29" s="294" t="s">
        <v>246</v>
      </c>
      <c r="H29" s="301" t="s">
        <v>260</v>
      </c>
      <c r="I29" s="294">
        <v>6.1840000000000002</v>
      </c>
      <c r="J29" s="294">
        <f>('Systems Data'!J7^2)/1029</f>
        <v>1.7768878522837706E-2</v>
      </c>
      <c r="K29" s="449"/>
      <c r="L29" s="453"/>
    </row>
    <row r="30" spans="1:13" ht="12.75" thickBot="1" x14ac:dyDescent="0.25">
      <c r="A30" s="277" t="s">
        <v>298</v>
      </c>
      <c r="B30" s="218" t="s">
        <v>269</v>
      </c>
      <c r="C30" s="325">
        <v>5</v>
      </c>
      <c r="D30" s="323">
        <f>'1.Casing design'!U202</f>
        <v>7085.3576957078858</v>
      </c>
      <c r="E30" s="323">
        <f>'1.Casing design'!V202</f>
        <v>8451.443569553805</v>
      </c>
      <c r="F30" s="323">
        <f t="shared" si="0"/>
        <v>1366.0858738459192</v>
      </c>
      <c r="G30" s="324" t="s">
        <v>251</v>
      </c>
      <c r="H30" s="325" t="s">
        <v>260</v>
      </c>
      <c r="I30" s="324">
        <v>4.4080000000000004</v>
      </c>
      <c r="J30" s="324">
        <f>('Systems Data'!K7^2)/1029</f>
        <v>9.1413887269193392E-3</v>
      </c>
      <c r="K30" s="324">
        <f>(((I28^2)/1029)*(F28))+(((I29^2)/1029)*(F29-150))+(((I30^2)/1029)*(F30-150))</f>
        <v>290.46328611302346</v>
      </c>
      <c r="L30" s="323">
        <f>F30-150</f>
        <v>1216.0858738459192</v>
      </c>
    </row>
    <row r="31" spans="1:13" ht="12.75" thickBot="1" x14ac:dyDescent="0.25">
      <c r="C31" s="202"/>
      <c r="D31" s="202"/>
      <c r="E31" s="202"/>
      <c r="F31" s="202"/>
      <c r="G31" s="202"/>
      <c r="H31" s="202"/>
      <c r="K31" s="278"/>
    </row>
    <row r="32" spans="1:13" x14ac:dyDescent="0.2">
      <c r="B32" s="215" t="s">
        <v>270</v>
      </c>
      <c r="C32" s="203">
        <f>'Systems Data'!L10</f>
        <v>825.62747688243064</v>
      </c>
      <c r="D32" s="278"/>
      <c r="E32" s="207"/>
      <c r="F32" s="207"/>
      <c r="G32" s="207"/>
      <c r="H32" s="207"/>
      <c r="K32" s="207"/>
    </row>
    <row r="33" spans="1:10" ht="12.75" thickBot="1" x14ac:dyDescent="0.25">
      <c r="B33" s="221" t="s">
        <v>271</v>
      </c>
      <c r="C33" s="204">
        <f>'Systems Data'!L9</f>
        <v>693.52708058124176</v>
      </c>
      <c r="D33" s="278"/>
      <c r="E33" s="278"/>
      <c r="F33" s="278"/>
      <c r="G33" s="278"/>
      <c r="H33" s="278"/>
    </row>
    <row r="34" spans="1:10" ht="12.75" thickBot="1" x14ac:dyDescent="0.25">
      <c r="D34" s="202"/>
      <c r="E34" s="202"/>
      <c r="F34" s="202"/>
      <c r="G34" s="205"/>
      <c r="H34" s="202"/>
    </row>
    <row r="35" spans="1:10" ht="12.75" thickBot="1" x14ac:dyDescent="0.25">
      <c r="B35" s="279"/>
      <c r="C35" s="216" t="s">
        <v>283</v>
      </c>
      <c r="D35" s="216" t="s">
        <v>284</v>
      </c>
      <c r="E35" s="267" t="s">
        <v>285</v>
      </c>
      <c r="F35" s="216" t="s">
        <v>282</v>
      </c>
      <c r="G35" s="216" t="s">
        <v>286</v>
      </c>
      <c r="H35" s="216" t="s">
        <v>287</v>
      </c>
      <c r="I35" s="216" t="s">
        <v>288</v>
      </c>
      <c r="J35" s="212" t="s">
        <v>289</v>
      </c>
    </row>
    <row r="36" spans="1:10" x14ac:dyDescent="0.2">
      <c r="B36" s="222" t="s">
        <v>272</v>
      </c>
      <c r="C36" s="210">
        <f>((('Systems Data'!F10^2)-('Systems Data'!F11^2))/1029)*'3.Mud design'!C32</f>
        <v>150.04114497280324</v>
      </c>
      <c r="D36" s="210">
        <f>((('Systems Data'!F8^2)-('Systems Data'!F9^2))/1029)*('3.Mud design'!E24-'3.Mud design'!C32)</f>
        <v>2.9711694546862519</v>
      </c>
      <c r="E36" s="210">
        <v>0</v>
      </c>
      <c r="F36" s="210">
        <f>(((29^2)/1029)*('1.Casing design'!C2))+(((26^2)/1029)*('3.Mud design'!E24-'1.Casing design'!C2))</f>
        <v>667.64613606972591</v>
      </c>
      <c r="G36" s="266">
        <f>((('Systems Data'!F11^2)/1029)*'3.Mud design'!C32)</f>
        <v>7.2212315762311716</v>
      </c>
      <c r="H36" s="266">
        <f>((('Systems Data'!F9^2)/1029)*'3.Mud design'!C33)</f>
        <v>7.3976012994365528</v>
      </c>
      <c r="I36" s="268">
        <v>0</v>
      </c>
      <c r="J36" s="210">
        <f t="shared" ref="J36:J41" si="1">F36-C36-D36-E36</f>
        <v>514.63382164223651</v>
      </c>
    </row>
    <row r="37" spans="1:10" x14ac:dyDescent="0.2">
      <c r="B37" s="217" t="s">
        <v>273</v>
      </c>
      <c r="C37" s="296">
        <f>((('Systems Data'!G10^2)-('Systems Data'!G11^2))/1029)*('3.Mud design'!C32)</f>
        <v>89.864215170876804</v>
      </c>
      <c r="D37" s="296">
        <f>((('Systems Data'!G8^2)-('Systems Data'!G9^2))/1029)*('3.Mud design'!C33)</f>
        <v>12.990342517456126</v>
      </c>
      <c r="E37" s="296">
        <f>((('Systems Data'!G6^2)-('Systems Data'!G7^2))/1029)*(E25-C33-C32)</f>
        <v>3.1931989972487913</v>
      </c>
      <c r="F37" s="296">
        <f>(((I24^2)/1029)*F24)+((('1.Casing design'!A4^2)/1029)*('3.Mud design'!F25-'3.Mud design'!F24))</f>
        <v>636.28047769539012</v>
      </c>
      <c r="G37" s="294">
        <f>((('Systems Data'!G11^2)/1029)*'3.Mud design'!C32)</f>
        <v>7.2212315762311716</v>
      </c>
      <c r="H37" s="294">
        <f>((('Systems Data'!G9^2)/1029)*'3.Mud design'!C33)</f>
        <v>7.3976012994365528</v>
      </c>
      <c r="I37" s="294">
        <f>((('Systems Data'!G7^2)/1029)*('3.Mud design'!E25-'3.Mud design'!C33-'3.Mud design'!C32))</f>
        <v>9.8236405727840612</v>
      </c>
      <c r="J37" s="296">
        <f t="shared" si="1"/>
        <v>530.2327210098083</v>
      </c>
    </row>
    <row r="38" spans="1:10" x14ac:dyDescent="0.2">
      <c r="B38" s="217" t="s">
        <v>274</v>
      </c>
      <c r="C38" s="291">
        <f>((('Systems Data'!H10^2)-('Systems Data'!H11^2))/1029)*('3.Mud design'!C32)</f>
        <v>89.864215170876804</v>
      </c>
      <c r="D38" s="291">
        <f>((('Systems Data'!H8^2)-('Systems Data'!H9^2))/1029)*('3.Mud design'!C33)</f>
        <v>10.783705820505217</v>
      </c>
      <c r="E38" s="291">
        <f>((('Systems Data'!H6^2)-('Systems Data'!H7^2))/1029)*(E26-C33-C32)</f>
        <v>5.8410279208317588</v>
      </c>
      <c r="F38" s="291">
        <f>(((I25^2)/1029)*E25)+(((12.25^2)/1029)*(E26-E25))</f>
        <v>364.57170743139613</v>
      </c>
      <c r="G38" s="266">
        <f>((('Systems Data'!H11^2)/1029)*'3.Mud design'!C32)</f>
        <v>7.2212315762311716</v>
      </c>
      <c r="H38" s="266">
        <f>((('Systems Data'!H9^2)/1029)*'3.Mud design'!C33)</f>
        <v>6.0658345240341847</v>
      </c>
      <c r="I38" s="266">
        <f>((('Systems Data'!H7^2)/1029)*('3.Mud design'!E26-'3.Mud design'!C33-'3.Mud design'!C32))</f>
        <v>15.902498714290594</v>
      </c>
      <c r="J38" s="291">
        <f t="shared" si="1"/>
        <v>258.08275851918233</v>
      </c>
    </row>
    <row r="39" spans="1:10" x14ac:dyDescent="0.2">
      <c r="A39" s="277" t="s">
        <v>298</v>
      </c>
      <c r="B39" s="217" t="s">
        <v>275</v>
      </c>
      <c r="C39" s="327">
        <f>((('Systems Data'!I10^2)-('Systems Data'!I11^2))/1029)*('3.Mud design'!C32)</f>
        <v>58.221179583363828</v>
      </c>
      <c r="D39" s="327">
        <f>((('Systems Data'!I8^2)-('Systems Data'!I9^2))/1029)*('3.Mud design'!C33)</f>
        <v>10.783705820505217</v>
      </c>
      <c r="E39" s="327">
        <f>((('Systems Data'!I6^2)-('Systems Data'!I7^2))/1029)*(E27-C33-C32)</f>
        <v>8.6851151444338619</v>
      </c>
      <c r="F39" s="327">
        <f>(((I26^2)/1029)*E26)+(((10.625^2)/1029)*('3.Mud design'!E27-'3.Mud design'!E26))</f>
        <v>336.03610377205018</v>
      </c>
      <c r="G39" s="324">
        <f>((('Systems Data'!I11^2)/1029)*'3.Mud design'!C32)</f>
        <v>3.2094362561027427</v>
      </c>
      <c r="H39" s="324">
        <f>((('Systems Data'!I9^2)/1029)*'3.Mud design'!C33)</f>
        <v>6.0658345240341847</v>
      </c>
      <c r="I39" s="324">
        <f>((('Systems Data'!I7^2)/1029)*('3.Mud design'!E27-'3.Mud design'!C33-'3.Mud design'!C32))</f>
        <v>23.645672352505677</v>
      </c>
      <c r="J39" s="327">
        <f t="shared" si="1"/>
        <v>258.34610322374732</v>
      </c>
    </row>
    <row r="40" spans="1:10" x14ac:dyDescent="0.2">
      <c r="B40" s="217" t="s">
        <v>276</v>
      </c>
      <c r="C40" s="296">
        <f>((('Systems Data'!J10^2)-('Systems Data'!J11^2))/1029)*('3.Mud design'!C32)</f>
        <v>24.710151799916041</v>
      </c>
      <c r="D40" s="296">
        <f>((('Systems Data'!J8^2)-('Systems Data'!J9^2))/1029)*('3.Mud design'!C33)</f>
        <v>10.783705820505217</v>
      </c>
      <c r="E40" s="296">
        <f>((('Systems Data'!J6^2)-('Systems Data'!J7^2))/1029)*(E29-C33-C32)</f>
        <v>37.307108090083396</v>
      </c>
      <c r="F40" s="296">
        <f>(((I26^2)/1029)*D27)+(((I27^2)/1029)*F27)+((('1.Casing design'!A7^2)/1029)*('3.Mud design'!E29-'3.Mud design'!E27))</f>
        <v>626.39292194128757</v>
      </c>
      <c r="G40" s="294">
        <f>((('Systems Data'!J11^2)/1029)*'3.Mud design'!C32)</f>
        <v>6.6319991385873092</v>
      </c>
      <c r="H40" s="294">
        <f>((('Systems Data'!J9^2)/1029)*'3.Mud design'!C33)</f>
        <v>6.0658345240341847</v>
      </c>
      <c r="I40" s="294">
        <f>((('Systems Data'!J7^2)/1029)*('3.Mud design'!E29-'3.Mud design'!C33-'3.Mud design'!C32))</f>
        <v>101.5705191753251</v>
      </c>
      <c r="J40" s="296">
        <f t="shared" si="1"/>
        <v>553.5919562307829</v>
      </c>
    </row>
    <row r="41" spans="1:10" ht="12.75" thickBot="1" x14ac:dyDescent="0.25">
      <c r="A41" s="277" t="s">
        <v>298</v>
      </c>
      <c r="B41" s="218" t="s">
        <v>277</v>
      </c>
      <c r="C41" s="327">
        <f>((('Systems Data'!K10^2)-('Systems Data'!K11^2))/1029)*('3.Mud design'!C32)</f>
        <v>14.893790125976793</v>
      </c>
      <c r="D41" s="327">
        <f>((('Systems Data'!K8^2)-('Systems Data'!K9^2))/1029)*('3.Mud design'!C33)</f>
        <v>5.3878299139999459</v>
      </c>
      <c r="E41" s="327">
        <f>((('Systems Data'!K6^2)-('Systems Data'!K7^2))/1029)*(E30-C33-C32)</f>
        <v>19.156501517062608</v>
      </c>
      <c r="F41" s="327">
        <f>(((I28^2)/1029)*F28)+(((I29^2)/1029)*F29)+((('1.Casing design'!A8^2)/1029)*('3.Mud design'!E30-'3.Mud design'!E29))</f>
        <v>313.86574441894317</v>
      </c>
      <c r="G41" s="324">
        <f>((('Systems Data'!K11^2)/1029)*'3.Mud design'!C32)</f>
        <v>3.2094362561027427</v>
      </c>
      <c r="H41" s="324">
        <f>((('Systems Data'!K9^2)/1029)*'3.Mud design'!C33)</f>
        <v>2.8684448548243608</v>
      </c>
      <c r="I41" s="324">
        <f>((('Systems Data'!K7^2)/1029)*('3.Mud design'!E30-'3.Mud design'!C33-'3.Mud design'!C32))</f>
        <v>63.370748626867545</v>
      </c>
      <c r="J41" s="327">
        <f t="shared" si="1"/>
        <v>274.42762286190379</v>
      </c>
    </row>
    <row r="42" spans="1:10" ht="12.75" thickBot="1" x14ac:dyDescent="0.25"/>
    <row r="43" spans="1:10" x14ac:dyDescent="0.2">
      <c r="B43" s="280"/>
      <c r="C43" s="216" t="s">
        <v>299</v>
      </c>
      <c r="G43" s="281"/>
      <c r="H43" s="281"/>
    </row>
    <row r="44" spans="1:10" x14ac:dyDescent="0.2">
      <c r="B44" s="217" t="s">
        <v>272</v>
      </c>
      <c r="C44" s="220">
        <f>((((26^2)-('Systems Data'!F10^2))/1029)*('3.Mud design'!C32))+((((26^2)-('Systems Data'!F8^2))/1029)*('3.Mud design'!E24-'1.Casing design'!C2-'3.Mud design'!C32))+((((29^2)-('Systems Data'!F8^2))/1029)*('1.Casing design'!C2))</f>
        <v>505.72060026748397</v>
      </c>
      <c r="E44" s="276"/>
      <c r="G44" s="281"/>
      <c r="H44" s="281"/>
    </row>
    <row r="45" spans="1:10" x14ac:dyDescent="0.2">
      <c r="B45" s="217" t="s">
        <v>273</v>
      </c>
      <c r="C45" s="295">
        <f>((((17.5^2)-('Systems Data'!G10^2))/1029)*'3.Mud design'!C32)+((((17.5^2)-('Systems Data'!G8^2))/1029)*'3.Mud design'!C33)+((('3.Mud design'!I24^2)-('Systems Data'!G6^2))/1029)*('3.Mud design'!F25-'3.Mud design'!C33-'3.Mud design'!C32)</f>
        <v>476.98055979260107</v>
      </c>
      <c r="E45" s="276"/>
      <c r="F45" s="276"/>
      <c r="G45" s="281"/>
      <c r="H45" s="281"/>
    </row>
    <row r="46" spans="1:10" x14ac:dyDescent="0.2">
      <c r="B46" s="217" t="s">
        <v>274</v>
      </c>
      <c r="C46" s="220">
        <f>((((12.25^2)-('Systems Data'!H10^2))/1029)*('3.Mud design'!E26-'3.Mud design'!E25))+((((I25^2)-('Systems Data'!H10^2))/1029)*('3.Mud design'!C32-('3.Mud design'!E26-'3.Mud design'!E25)))+(((('3.Mud design'!I25^2)-('Systems Data'!H8^2))/1029)*('3.Mud design'!C33))+(((('3.Mud design'!I25^2)-('Systems Data'!H6^2))/1029)*('3.Mud design'!E26-'3.Mud design'!C33-'3.Mud design'!C32))</f>
        <v>228.89319370462636</v>
      </c>
      <c r="E46" s="276"/>
      <c r="G46" s="281"/>
      <c r="H46" s="281"/>
    </row>
    <row r="47" spans="1:10" x14ac:dyDescent="0.2">
      <c r="A47" s="277" t="s">
        <v>298</v>
      </c>
      <c r="B47" s="217" t="s">
        <v>275</v>
      </c>
      <c r="C47" s="328">
        <f>((((12.25^2)-('Systems Data'!I10^2))/1029)*('3.Mud design'!E27-'3.Mud design'!E26))+(((('3.Mud design'!I26^2)-('Systems Data'!I10^2))/1029)*('3.Mud design'!C32-('3.Mud design'!E27-'3.Mud design'!E26)))+(((('3.Mud design'!I26^2)-('Systems Data'!I8^2))/1029)*'3.Mud design'!C33)+(((('3.Mud design'!I26^2)-('Systems Data'!I6^2))/1029)*('3.Mud design'!E27-'3.Mud design'!C33-'3.Mud design'!C32))</f>
        <v>241.16709358501919</v>
      </c>
      <c r="E47" s="276"/>
      <c r="G47" s="281"/>
      <c r="H47" s="281"/>
    </row>
    <row r="48" spans="1:10" x14ac:dyDescent="0.2">
      <c r="B48" s="217" t="s">
        <v>276</v>
      </c>
      <c r="C48" s="295">
        <f>((((8.5^2)-('Systems Data'!J10^2))/1029)*('3.Mud design'!C32))+((((8.5^2)-('Systems Data'!J8^2))/1029)*('3.Mud design'!C33))+((((8.5^2)-('Systems Data'!J6^2))/1029)*('3.Mud design'!E29-'3.Mud design'!E27-'3.Mud design'!C33-'3.Mud design'!C32))+(((('3.Mud design'!I27^2)-('Systems Data'!J6^2))/1029)*('3.Mud design'!F27))+(((('3.Mud design'!I26^2)-('Systems Data'!J6^2))/1029)*('3.Mud design'!D27))</f>
        <v>439.32360339283639</v>
      </c>
      <c r="G48" s="281"/>
      <c r="H48" s="281"/>
    </row>
    <row r="49" spans="1:8" ht="12.75" thickBot="1" x14ac:dyDescent="0.25">
      <c r="A49" s="277" t="s">
        <v>298</v>
      </c>
      <c r="B49" s="218" t="s">
        <v>277</v>
      </c>
      <c r="C49" s="329">
        <f>((((5.875^2)-('Systems Data'!K10^2))/1029)*('3.Mud design'!E30-'3.Mud design'!E29))+(((('3.Mud design'!I29^2)-('Systems Data'!K10^2))/1029)*('3.Mud design'!C32-('3.Mud design'!E30-'3.Mud design'!E29)))+(((('3.Mud design'!I29^2)-('Systems Data'!K8^2))/1029)*('3.Mud design'!C33))+(((('3.Mud design'!I29^2)-('Systems Data'!K6^2))/1029)*('3.Mud design'!E30-'3.Mud design'!E29-'3.Mud design'!C33-'3.Mud design'!C32))+(((('3.Mud design'!I28^2)-('Systems Data'!K6^2))/1029)*('3.Mud design'!F28))</f>
        <v>116.97819159730332</v>
      </c>
    </row>
    <row r="51" spans="1:8" x14ac:dyDescent="0.2">
      <c r="B51" s="282"/>
      <c r="C51" s="271" t="s">
        <v>292</v>
      </c>
      <c r="D51" s="271" t="s">
        <v>293</v>
      </c>
      <c r="E51" s="271" t="s">
        <v>294</v>
      </c>
      <c r="F51" s="271" t="s">
        <v>295</v>
      </c>
      <c r="G51" s="271" t="s">
        <v>296</v>
      </c>
      <c r="H51" s="271" t="s">
        <v>297</v>
      </c>
    </row>
    <row r="52" spans="1:8" x14ac:dyDescent="0.2">
      <c r="B52" s="271" t="s">
        <v>272</v>
      </c>
      <c r="C52" s="272">
        <f>J36+C13</f>
        <v>1341.9671549755699</v>
      </c>
      <c r="D52" s="273">
        <f>J36/'2.Hydraulic Design'!E39</f>
        <v>20.548823221331435</v>
      </c>
      <c r="E52" s="273">
        <f>C44/'2.Hydraulic Design'!E39</f>
        <v>20.19292704300037</v>
      </c>
      <c r="F52" s="273">
        <f>E52*'2.Hydraulic Design'!B17</f>
        <v>2423.1512451600443</v>
      </c>
      <c r="G52" s="273">
        <f t="shared" ref="G52:G57" si="2">D52-E52</f>
        <v>0.35589617833106502</v>
      </c>
      <c r="H52" s="273">
        <f>C52/'2.Hydraulic Design'!E39</f>
        <v>53.583430930422345</v>
      </c>
    </row>
    <row r="53" spans="1:8" x14ac:dyDescent="0.2">
      <c r="B53" s="271" t="s">
        <v>273</v>
      </c>
      <c r="C53" s="293">
        <f>J37+C13</f>
        <v>1357.5660543431418</v>
      </c>
      <c r="D53" s="294">
        <f>J37/'2.Hydraulic Design'!E101</f>
        <v>50.027580240537716</v>
      </c>
      <c r="E53" s="294">
        <f>C45/'2.Hydraulic Design'!E101</f>
        <v>45.003226475266018</v>
      </c>
      <c r="F53" s="294">
        <f>E53*'2.Hydraulic Design'!B79</f>
        <v>5400.387177031922</v>
      </c>
      <c r="G53" s="294">
        <f t="shared" si="2"/>
        <v>5.0243537652716981</v>
      </c>
      <c r="H53" s="294">
        <f>C53/'2.Hydraulic Design'!E101</f>
        <v>128.08667218073361</v>
      </c>
    </row>
    <row r="54" spans="1:8" x14ac:dyDescent="0.2">
      <c r="B54" s="271" t="s">
        <v>274</v>
      </c>
      <c r="C54" s="297">
        <f>J38+C13</f>
        <v>1085.4160918525158</v>
      </c>
      <c r="D54" s="266">
        <f>J38/'2.Hydraulic Design'!E163</f>
        <v>16.430151717675738</v>
      </c>
      <c r="E54" s="266">
        <f>C46/'2.Hydraulic Design'!E163</f>
        <v>14.571875786234786</v>
      </c>
      <c r="F54" s="266">
        <f>E54*'2.Hydraulic Design'!B141</f>
        <v>1748.6250943481743</v>
      </c>
      <c r="G54" s="266">
        <f t="shared" si="2"/>
        <v>1.8582759314409518</v>
      </c>
      <c r="H54" s="266">
        <f>C54/'2.Hydraulic Design'!E163</f>
        <v>69.100125743649784</v>
      </c>
    </row>
    <row r="55" spans="1:8" x14ac:dyDescent="0.2">
      <c r="A55" s="277" t="s">
        <v>298</v>
      </c>
      <c r="B55" s="271" t="s">
        <v>275</v>
      </c>
      <c r="C55" s="330">
        <f>J39+C13</f>
        <v>1085.6794365570809</v>
      </c>
      <c r="D55" s="324">
        <f>J39/'2.Hydraulic Design'!E225</f>
        <v>29.238963301652163</v>
      </c>
      <c r="E55" s="324">
        <f>C47/'2.Hydraulic Design'!E225</f>
        <v>27.294686124185027</v>
      </c>
      <c r="F55" s="324">
        <f>E55*'2.Hydraulic Design'!B203</f>
        <v>3275.3623349022032</v>
      </c>
      <c r="G55" s="324">
        <f t="shared" si="2"/>
        <v>1.9442771774671357</v>
      </c>
      <c r="H55" s="324">
        <f>C55/'2.Hydraulic Design'!E225</f>
        <v>122.87447268116156</v>
      </c>
    </row>
    <row r="56" spans="1:8" x14ac:dyDescent="0.2">
      <c r="B56" s="271" t="s">
        <v>276</v>
      </c>
      <c r="C56" s="293">
        <f>J40+C13</f>
        <v>1380.9252895641164</v>
      </c>
      <c r="D56" s="294">
        <f>J40/'2.Hydraulic Design'!E287</f>
        <v>85.279256503268627</v>
      </c>
      <c r="E56" s="294">
        <f>C48/'2.Hydraulic Design'!E287</f>
        <v>67.676543779222399</v>
      </c>
      <c r="F56" s="294">
        <f>E56*'2.Hydraulic Design'!B265</f>
        <v>8121.1852535066882</v>
      </c>
      <c r="G56" s="294">
        <f t="shared" si="2"/>
        <v>17.602712724046228</v>
      </c>
      <c r="H56" s="294">
        <f>C56/'2.Hydraulic Design'!E287</f>
        <v>212.72758871426754</v>
      </c>
    </row>
    <row r="57" spans="1:8" x14ac:dyDescent="0.2">
      <c r="A57" s="277" t="s">
        <v>298</v>
      </c>
      <c r="B57" s="271" t="s">
        <v>277</v>
      </c>
      <c r="C57" s="330">
        <f>J41+C13</f>
        <v>1101.7609561952372</v>
      </c>
      <c r="D57" s="324">
        <f>J41/'2.Hydraulic Design'!E349</f>
        <v>42.274789902955632</v>
      </c>
      <c r="E57" s="324">
        <f>C49/'2.Hydraulic Design'!E349</f>
        <v>18.020155629494351</v>
      </c>
      <c r="F57" s="324">
        <f>E57*'2.Hydraulic Design'!B327</f>
        <v>2162.4186755393221</v>
      </c>
      <c r="G57" s="324">
        <f t="shared" si="2"/>
        <v>24.254634273461281</v>
      </c>
      <c r="H57" s="324">
        <f>C57/'2.Hydraulic Design'!E349</f>
        <v>169.72312211395453</v>
      </c>
    </row>
    <row r="61" spans="1:8" x14ac:dyDescent="0.2">
      <c r="E61" s="283"/>
    </row>
    <row r="64" spans="1:8" x14ac:dyDescent="0.2">
      <c r="B64" s="211"/>
      <c r="C64" s="211" t="s">
        <v>70</v>
      </c>
      <c r="E64" s="284" t="s">
        <v>309</v>
      </c>
      <c r="F64" s="288"/>
    </row>
    <row r="65" spans="1:11" x14ac:dyDescent="0.2">
      <c r="B65" s="285" t="s">
        <v>229</v>
      </c>
      <c r="C65" s="211">
        <f>'1.Casing design'!E2*8.33</f>
        <v>9.9960000000000004</v>
      </c>
      <c r="E65" s="284" t="s">
        <v>311</v>
      </c>
      <c r="F65" s="289">
        <v>18</v>
      </c>
    </row>
    <row r="66" spans="1:11" x14ac:dyDescent="0.2">
      <c r="B66" s="286" t="s">
        <v>272</v>
      </c>
      <c r="C66" s="211">
        <f>'1.Casing design'!E3*8.33</f>
        <v>12.0785</v>
      </c>
      <c r="E66" s="284" t="s">
        <v>312</v>
      </c>
      <c r="F66" s="290">
        <v>22</v>
      </c>
    </row>
    <row r="67" spans="1:11" x14ac:dyDescent="0.2">
      <c r="B67" s="286" t="s">
        <v>273</v>
      </c>
      <c r="C67" s="211">
        <f>'1.Casing design'!E4*8.33</f>
        <v>19.992000000000001</v>
      </c>
      <c r="E67" s="287" t="s">
        <v>313</v>
      </c>
      <c r="F67" s="289">
        <v>8.33</v>
      </c>
    </row>
    <row r="68" spans="1:11" x14ac:dyDescent="0.2">
      <c r="B68" s="286" t="s">
        <v>274</v>
      </c>
      <c r="C68" s="211">
        <f>'1.Casing design'!E5*8.33</f>
        <v>9.5794999999999995</v>
      </c>
      <c r="E68" s="287" t="s">
        <v>314</v>
      </c>
      <c r="F68" s="289">
        <v>21.7</v>
      </c>
    </row>
    <row r="69" spans="1:11" x14ac:dyDescent="0.2">
      <c r="A69" s="277" t="s">
        <v>298</v>
      </c>
      <c r="B69" s="286" t="s">
        <v>275</v>
      </c>
      <c r="C69" s="211">
        <f>'1.Casing design'!E6*8.33</f>
        <v>13.328000000000001</v>
      </c>
      <c r="E69" s="287" t="s">
        <v>315</v>
      </c>
      <c r="F69" s="289">
        <v>35.4</v>
      </c>
    </row>
    <row r="70" spans="1:11" x14ac:dyDescent="0.2">
      <c r="B70" s="286" t="s">
        <v>276</v>
      </c>
      <c r="C70" s="211">
        <f>'1.Casing design'!E7*8.33</f>
        <v>14.994</v>
      </c>
      <c r="E70" s="287" t="s">
        <v>316</v>
      </c>
      <c r="F70" s="266">
        <f>C65</f>
        <v>9.9960000000000004</v>
      </c>
    </row>
    <row r="71" spans="1:11" x14ac:dyDescent="0.2">
      <c r="A71" s="277" t="s">
        <v>298</v>
      </c>
      <c r="B71" s="286" t="s">
        <v>277</v>
      </c>
      <c r="C71" s="211">
        <f>'1.Casing design'!E8*8.33</f>
        <v>12.495000000000001</v>
      </c>
      <c r="E71" s="284" t="s">
        <v>320</v>
      </c>
      <c r="F71" s="266">
        <f>(((29^2)/1029)*('1.Casing design'!C2))+(C13)+F10</f>
        <v>1387.6458899270247</v>
      </c>
    </row>
    <row r="72" spans="1:11" x14ac:dyDescent="0.2">
      <c r="E72" s="284" t="s">
        <v>317</v>
      </c>
      <c r="F72" s="266">
        <f>F71*F66/(F68*42)</f>
        <v>33.495950821148277</v>
      </c>
    </row>
    <row r="73" spans="1:11" ht="12.75" customHeight="1" x14ac:dyDescent="0.2">
      <c r="E73" s="284" t="s">
        <v>318</v>
      </c>
      <c r="F73" s="266">
        <f>F71-F74</f>
        <v>1318.7882175908712</v>
      </c>
    </row>
    <row r="74" spans="1:11" ht="12" customHeight="1" x14ac:dyDescent="0.2">
      <c r="B74" s="460" t="s">
        <v>323</v>
      </c>
      <c r="E74" s="284" t="s">
        <v>319</v>
      </c>
      <c r="F74" s="266">
        <f>((F71*C65)-(F67*(F71-F72))-(F68*F72))/(F69-F67)</f>
        <v>68.857672336153357</v>
      </c>
    </row>
    <row r="75" spans="1:11" ht="12" customHeight="1" x14ac:dyDescent="0.2">
      <c r="B75" s="460"/>
    </row>
    <row r="77" spans="1:11" x14ac:dyDescent="0.2">
      <c r="B77" s="284" t="s">
        <v>302</v>
      </c>
      <c r="C77" s="287" t="s">
        <v>306</v>
      </c>
      <c r="D77" s="287" t="s">
        <v>307</v>
      </c>
      <c r="E77" s="287" t="s">
        <v>308</v>
      </c>
      <c r="F77" s="284" t="s">
        <v>303</v>
      </c>
      <c r="G77" s="284" t="s">
        <v>304</v>
      </c>
      <c r="H77" s="346" t="s">
        <v>305</v>
      </c>
      <c r="I77" s="284" t="s">
        <v>310</v>
      </c>
      <c r="J77" s="454"/>
      <c r="K77" s="455"/>
    </row>
    <row r="78" spans="1:11" x14ac:dyDescent="0.2">
      <c r="B78" s="211">
        <f>F71</f>
        <v>1387.6458899270247</v>
      </c>
      <c r="C78" s="211">
        <f>C65</f>
        <v>9.9960000000000004</v>
      </c>
      <c r="D78" s="211">
        <v>35.4</v>
      </c>
      <c r="E78" s="211">
        <f>C66</f>
        <v>12.0785</v>
      </c>
      <c r="F78" s="211">
        <f>C52</f>
        <v>1341.9671549755699</v>
      </c>
      <c r="G78" s="266">
        <f>((E78-C78)*F78)/(D78-C78)</f>
        <v>110.00813258686129</v>
      </c>
      <c r="H78" s="266">
        <f>F78-G78</f>
        <v>1231.9590223887085</v>
      </c>
      <c r="I78" s="266">
        <f>B78-H78</f>
        <v>155.68686753831616</v>
      </c>
      <c r="J78" s="458" t="str">
        <f>IF(F78&lt;C52,"LESS THAN ASSUME VOLUME=" &amp; C52," ASSUME VOLUME="&amp; C52)</f>
        <v xml:space="preserve"> ASSUME VOLUME=1341.96715497557</v>
      </c>
      <c r="K78" s="459"/>
    </row>
    <row r="79" spans="1:11" x14ac:dyDescent="0.2">
      <c r="B79" s="211">
        <f>F78</f>
        <v>1341.9671549755699</v>
      </c>
      <c r="C79" s="211">
        <f>C66</f>
        <v>12.0785</v>
      </c>
      <c r="D79" s="211">
        <v>35.4</v>
      </c>
      <c r="E79" s="211">
        <f>C67</f>
        <v>19.992000000000001</v>
      </c>
      <c r="F79" s="211">
        <f>C53</f>
        <v>1357.5660543431418</v>
      </c>
      <c r="G79" s="266">
        <f>((E79-C79)*F79)/(D79-C79)</f>
        <v>460.65214377481954</v>
      </c>
      <c r="H79" s="266">
        <f>F79-G79</f>
        <v>896.91391056832231</v>
      </c>
      <c r="I79" s="266">
        <f>B79-H79</f>
        <v>445.05324440724758</v>
      </c>
      <c r="J79" s="458" t="str">
        <f>IF(F79&lt;C53,"LESS THAN ASSUME VOLUME=" &amp; C53," ASSUME VOLUME="&amp; C53)</f>
        <v xml:space="preserve"> ASSUME VOLUME=1357.56605434314</v>
      </c>
      <c r="K79" s="459"/>
    </row>
    <row r="80" spans="1:11" x14ac:dyDescent="0.2">
      <c r="B80" s="284" t="s">
        <v>302</v>
      </c>
      <c r="C80" s="287" t="s">
        <v>306</v>
      </c>
      <c r="D80" s="287" t="s">
        <v>321</v>
      </c>
      <c r="E80" s="287" t="s">
        <v>308</v>
      </c>
      <c r="F80" s="284" t="s">
        <v>303</v>
      </c>
      <c r="G80" s="284" t="s">
        <v>318</v>
      </c>
      <c r="H80" s="284" t="s">
        <v>305</v>
      </c>
      <c r="I80" s="284" t="s">
        <v>310</v>
      </c>
      <c r="J80" s="458"/>
      <c r="K80" s="459"/>
    </row>
    <row r="81" spans="2:11" x14ac:dyDescent="0.2">
      <c r="B81" s="211">
        <f>F79</f>
        <v>1357.5660543431418</v>
      </c>
      <c r="C81" s="211">
        <f>C67</f>
        <v>19.992000000000001</v>
      </c>
      <c r="D81" s="211">
        <v>8.33</v>
      </c>
      <c r="E81" s="211">
        <f>C68</f>
        <v>9.5794999999999995</v>
      </c>
      <c r="F81" s="211">
        <v>1091.355</v>
      </c>
      <c r="G81" s="266">
        <f>((E81-C81)*F81)/(D81-C81)</f>
        <v>974.42410714285711</v>
      </c>
      <c r="H81" s="266">
        <f>F81-G81</f>
        <v>116.93089285714291</v>
      </c>
      <c r="I81" s="266">
        <f>B81-H81</f>
        <v>1240.6351614859989</v>
      </c>
      <c r="J81" s="458" t="str">
        <f>IF(F81&lt;C54,"LESS THAN ASSUME VOLUME="&amp; C54," ASSUME VOLUME="&amp; C54)</f>
        <v xml:space="preserve"> ASSUME VOLUME=1085.41609185252</v>
      </c>
      <c r="K81" s="459"/>
    </row>
    <row r="82" spans="2:11" x14ac:dyDescent="0.2">
      <c r="B82" s="284" t="s">
        <v>302</v>
      </c>
      <c r="C82" s="287" t="s">
        <v>306</v>
      </c>
      <c r="D82" s="287" t="s">
        <v>307</v>
      </c>
      <c r="E82" s="287" t="s">
        <v>308</v>
      </c>
      <c r="F82" s="284" t="s">
        <v>303</v>
      </c>
      <c r="G82" s="284" t="s">
        <v>304</v>
      </c>
      <c r="H82" s="284" t="s">
        <v>305</v>
      </c>
      <c r="I82" s="284" t="s">
        <v>310</v>
      </c>
      <c r="J82" s="458"/>
      <c r="K82" s="459"/>
    </row>
    <row r="83" spans="2:11" x14ac:dyDescent="0.2">
      <c r="B83" s="211">
        <f>F81</f>
        <v>1091.355</v>
      </c>
      <c r="C83" s="211">
        <f>C68</f>
        <v>9.5794999999999995</v>
      </c>
      <c r="D83" s="211">
        <v>35.4</v>
      </c>
      <c r="E83" s="211">
        <f>C69</f>
        <v>13.328000000000001</v>
      </c>
      <c r="F83" s="211">
        <v>1276.7</v>
      </c>
      <c r="G83" s="266">
        <f>((E83-C83)*F83)/(D83-C83)</f>
        <v>185.34536318041876</v>
      </c>
      <c r="H83" s="266">
        <f>F83-G83</f>
        <v>1091.3546368195812</v>
      </c>
      <c r="I83" s="266">
        <f>B83-H83</f>
        <v>3.6318041884442209E-4</v>
      </c>
      <c r="J83" s="458" t="str">
        <f>IF(F83&lt;C55,"LESS THAN ASSUME VOLUME="&amp;C55," ASSUME VOLUME="&amp;C55)</f>
        <v xml:space="preserve"> ASSUME VOLUME=1085.67943655708</v>
      </c>
      <c r="K83" s="459"/>
    </row>
    <row r="84" spans="2:11" x14ac:dyDescent="0.2">
      <c r="B84" s="211">
        <f>F83</f>
        <v>1276.7</v>
      </c>
      <c r="C84" s="211">
        <f>C69</f>
        <v>13.328000000000001</v>
      </c>
      <c r="D84" s="211">
        <v>35.4</v>
      </c>
      <c r="E84" s="211">
        <f>C70</f>
        <v>14.994</v>
      </c>
      <c r="F84" s="211">
        <f>C56</f>
        <v>1380.9252895641164</v>
      </c>
      <c r="G84" s="266">
        <f>((E84-C84)*F84)/(D84-C84)</f>
        <v>104.23258120758501</v>
      </c>
      <c r="H84" s="266">
        <f>F84-G84</f>
        <v>1276.6927083565313</v>
      </c>
      <c r="I84" s="266">
        <f>B84-H84</f>
        <v>7.2916434687613219E-3</v>
      </c>
      <c r="J84" s="458" t="str">
        <f>IF(F84&lt;C56,"LESS THAN ASSUME VOLUME="&amp;C56," ASSUME VOLUME="&amp;C56)</f>
        <v xml:space="preserve"> ASSUME VOLUME=1380.92528956412</v>
      </c>
      <c r="K84" s="459"/>
    </row>
    <row r="85" spans="2:11" x14ac:dyDescent="0.2">
      <c r="B85" s="284" t="s">
        <v>302</v>
      </c>
      <c r="C85" s="287" t="s">
        <v>306</v>
      </c>
      <c r="D85" s="287" t="s">
        <v>321</v>
      </c>
      <c r="E85" s="287" t="s">
        <v>308</v>
      </c>
      <c r="F85" s="284" t="s">
        <v>303</v>
      </c>
      <c r="G85" s="284" t="s">
        <v>318</v>
      </c>
      <c r="H85" s="284" t="s">
        <v>305</v>
      </c>
      <c r="I85" s="284" t="s">
        <v>310</v>
      </c>
      <c r="J85" s="458"/>
      <c r="K85" s="459"/>
    </row>
    <row r="86" spans="2:11" x14ac:dyDescent="0.2">
      <c r="B86" s="211">
        <f>F84</f>
        <v>1380.9252895641164</v>
      </c>
      <c r="C86" s="211">
        <f>E84</f>
        <v>14.994</v>
      </c>
      <c r="D86" s="211">
        <v>8.33</v>
      </c>
      <c r="E86" s="211">
        <f>C71</f>
        <v>12.495000000000001</v>
      </c>
      <c r="F86" s="211">
        <f>C57</f>
        <v>1101.7609561952372</v>
      </c>
      <c r="G86" s="266">
        <f>((E86-C86)*F86)/(D86-C86)</f>
        <v>413.16035857321378</v>
      </c>
      <c r="H86" s="266">
        <f>F86-G86</f>
        <v>688.60059762202343</v>
      </c>
      <c r="I86" s="266">
        <f>B86-H86</f>
        <v>692.32469194209295</v>
      </c>
      <c r="J86" s="456" t="str">
        <f>IF(F86&lt;C57,"LESS THAN ASSUME VOLUME="&amp; C57," ASSUME VOLUME=" &amp; C57)</f>
        <v xml:space="preserve"> ASSUME VOLUME=1101.76095619524</v>
      </c>
      <c r="K86" s="457"/>
    </row>
  </sheetData>
  <mergeCells count="15">
    <mergeCell ref="J81:K81"/>
    <mergeCell ref="J80:K80"/>
    <mergeCell ref="J79:K79"/>
    <mergeCell ref="J78:K78"/>
    <mergeCell ref="B74:B75"/>
    <mergeCell ref="J86:K86"/>
    <mergeCell ref="J85:K85"/>
    <mergeCell ref="J84:K84"/>
    <mergeCell ref="J83:K83"/>
    <mergeCell ref="J82:K82"/>
    <mergeCell ref="B2:B3"/>
    <mergeCell ref="K28:K29"/>
    <mergeCell ref="B21:E21"/>
    <mergeCell ref="L28:L29"/>
    <mergeCell ref="J77:K7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1"/>
  </sheetPr>
  <dimension ref="A2:T110"/>
  <sheetViews>
    <sheetView topLeftCell="A52" workbookViewId="0">
      <selection activeCell="H54" sqref="H54"/>
    </sheetView>
  </sheetViews>
  <sheetFormatPr defaultColWidth="9.140625" defaultRowHeight="12" x14ac:dyDescent="0.2"/>
  <cols>
    <col min="1" max="1" width="13.5703125" style="208" customWidth="1"/>
    <col min="2" max="2" width="25" style="208" customWidth="1"/>
    <col min="3" max="3" width="18.140625" style="208" customWidth="1"/>
    <col min="4" max="4" width="22.5703125" style="208" customWidth="1"/>
    <col min="5" max="5" width="18.85546875" style="208" customWidth="1"/>
    <col min="6" max="12" width="18.28515625" style="208" customWidth="1"/>
    <col min="13" max="13" width="17.42578125" style="208" customWidth="1"/>
    <col min="14" max="14" width="24.28515625" style="208" customWidth="1"/>
    <col min="15" max="15" width="17.42578125" style="208" customWidth="1"/>
    <col min="16" max="16" width="17" style="208" customWidth="1"/>
    <col min="17" max="16384" width="9.140625" style="208"/>
  </cols>
  <sheetData>
    <row r="2" spans="1:20" x14ac:dyDescent="0.2">
      <c r="B2" s="466" t="s">
        <v>376</v>
      </c>
      <c r="C2" s="466"/>
    </row>
    <row r="3" spans="1:20" x14ac:dyDescent="0.2">
      <c r="B3" s="466"/>
      <c r="C3" s="466"/>
    </row>
    <row r="6" spans="1:20" x14ac:dyDescent="0.2">
      <c r="B6" s="284" t="s">
        <v>262</v>
      </c>
      <c r="C6" s="284" t="s">
        <v>324</v>
      </c>
      <c r="D6" s="284" t="s">
        <v>278</v>
      </c>
      <c r="E6" s="284" t="s">
        <v>326</v>
      </c>
      <c r="F6" s="284" t="s">
        <v>91</v>
      </c>
      <c r="G6" s="284" t="s">
        <v>92</v>
      </c>
      <c r="H6" s="284" t="s">
        <v>88</v>
      </c>
      <c r="I6" s="284" t="s">
        <v>59</v>
      </c>
      <c r="J6" s="284" t="s">
        <v>335</v>
      </c>
      <c r="K6" s="284" t="s">
        <v>328</v>
      </c>
      <c r="L6" s="284" t="s">
        <v>334</v>
      </c>
      <c r="M6" s="284" t="s">
        <v>329</v>
      </c>
      <c r="N6" s="284" t="s">
        <v>330</v>
      </c>
      <c r="O6" s="284" t="s">
        <v>361</v>
      </c>
      <c r="P6" s="284" t="s">
        <v>70</v>
      </c>
      <c r="Q6" s="461" t="s">
        <v>389</v>
      </c>
      <c r="R6" s="461"/>
      <c r="S6" s="461"/>
      <c r="T6" s="347"/>
    </row>
    <row r="7" spans="1:20" x14ac:dyDescent="0.2">
      <c r="B7" s="284" t="s">
        <v>325</v>
      </c>
      <c r="C7" s="312">
        <v>36</v>
      </c>
      <c r="D7" s="301">
        <v>30</v>
      </c>
      <c r="E7" s="316">
        <v>29</v>
      </c>
      <c r="F7" s="300">
        <v>0</v>
      </c>
      <c r="G7" s="300">
        <f>'1.Casing design'!C2</f>
        <v>131.23359580052494</v>
      </c>
      <c r="H7" s="300">
        <f>G7-F7</f>
        <v>131.23359580052494</v>
      </c>
      <c r="I7" s="318" t="s">
        <v>332</v>
      </c>
      <c r="J7" s="319" t="s">
        <v>331</v>
      </c>
      <c r="K7" s="294" t="str">
        <f>J7</f>
        <v>---------</v>
      </c>
      <c r="L7" s="294" t="str">
        <f>K7</f>
        <v>---------</v>
      </c>
      <c r="M7" s="294" t="str">
        <f>K7</f>
        <v>---------</v>
      </c>
      <c r="N7" s="294">
        <v>4</v>
      </c>
      <c r="O7" s="318" t="s">
        <v>354</v>
      </c>
      <c r="P7" s="318">
        <f>'1.Casing design'!J2</f>
        <v>9.9600000000000009</v>
      </c>
      <c r="Q7" s="463"/>
      <c r="R7" s="463"/>
      <c r="S7" s="463"/>
      <c r="T7" s="347"/>
    </row>
    <row r="8" spans="1:20" s="275" customFormat="1" x14ac:dyDescent="0.2">
      <c r="B8" s="284" t="s">
        <v>344</v>
      </c>
      <c r="C8" s="310">
        <v>26</v>
      </c>
      <c r="D8" s="298">
        <v>20</v>
      </c>
      <c r="E8" s="315">
        <f>'1.Casing design'!S30</f>
        <v>19</v>
      </c>
      <c r="F8" s="270">
        <f>'3.Mud design'!D24</f>
        <v>0</v>
      </c>
      <c r="G8" s="270">
        <f>'3.Mud design'!E24</f>
        <v>984.25196850393695</v>
      </c>
      <c r="H8" s="270">
        <f t="shared" ref="H8:H14" si="0">G8-F8</f>
        <v>984.25196850393695</v>
      </c>
      <c r="I8" s="266" t="str">
        <f>'3.Mud design'!G24</f>
        <v>J-55 106.5</v>
      </c>
      <c r="J8" s="269">
        <v>106.5</v>
      </c>
      <c r="K8" s="266">
        <f>G8-(150/0.3048)</f>
        <v>492.12598425196848</v>
      </c>
      <c r="L8" s="266">
        <f>'1.Casing design'!B24</f>
        <v>718.12204724409446</v>
      </c>
      <c r="M8" s="266">
        <f>700+L8</f>
        <v>1418.1220472440946</v>
      </c>
      <c r="N8" s="266">
        <v>4</v>
      </c>
      <c r="O8" s="266">
        <v>40</v>
      </c>
      <c r="P8" s="268">
        <f>'1.Casing design'!J3</f>
        <v>12.035</v>
      </c>
      <c r="Q8" s="465">
        <v>1640.4199000000001</v>
      </c>
      <c r="R8" s="465"/>
      <c r="S8" s="465"/>
      <c r="T8" s="270">
        <f>G8-G7</f>
        <v>853.01837270341207</v>
      </c>
    </row>
    <row r="9" spans="1:20" x14ac:dyDescent="0.2">
      <c r="B9" s="284" t="s">
        <v>345</v>
      </c>
      <c r="C9" s="309">
        <v>17.5</v>
      </c>
      <c r="D9" s="299">
        <v>13.375</v>
      </c>
      <c r="E9" s="316">
        <f>'1.Casing design'!AA61</f>
        <v>12.515000000000001</v>
      </c>
      <c r="F9" s="300">
        <f>'3.Mud design'!D25</f>
        <v>0</v>
      </c>
      <c r="G9" s="300">
        <f>'3.Mud design'!E25</f>
        <v>1961.9422572178478</v>
      </c>
      <c r="H9" s="300">
        <f t="shared" si="0"/>
        <v>1961.9422572178478</v>
      </c>
      <c r="I9" s="294" t="str">
        <f>'3.Mud design'!G25</f>
        <v>J-55 61</v>
      </c>
      <c r="J9" s="301">
        <v>61</v>
      </c>
      <c r="K9" s="294">
        <f t="shared" ref="K9:K14" si="1">G9-(150/0.3048)</f>
        <v>1469.8162729658793</v>
      </c>
      <c r="L9" s="294">
        <f>'1.Casing design'!B49</f>
        <v>2159.6824934383203</v>
      </c>
      <c r="M9" s="294">
        <f>700+L9</f>
        <v>2859.6824934383203</v>
      </c>
      <c r="N9" s="294">
        <v>4</v>
      </c>
      <c r="O9" s="294">
        <v>80</v>
      </c>
      <c r="P9" s="318">
        <f>'1.Casing design'!J4</f>
        <v>19.920000000000002</v>
      </c>
      <c r="Q9" s="463">
        <v>1968.5038999999999</v>
      </c>
      <c r="R9" s="463"/>
      <c r="S9" s="463"/>
      <c r="T9" s="317">
        <f>G9-G8</f>
        <v>977.69028871391083</v>
      </c>
    </row>
    <row r="10" spans="1:20" x14ac:dyDescent="0.2">
      <c r="B10" s="284" t="s">
        <v>346</v>
      </c>
      <c r="C10" s="310">
        <v>14.75</v>
      </c>
      <c r="D10" s="298">
        <v>11.75</v>
      </c>
      <c r="E10" s="315">
        <f>'1.Casing design'!AA91</f>
        <v>11.084</v>
      </c>
      <c r="F10" s="270">
        <f>'3.Mud design'!D26</f>
        <v>0</v>
      </c>
      <c r="G10" s="270">
        <f>'3.Mud design'!E26</f>
        <v>2414.1181137653084</v>
      </c>
      <c r="H10" s="270">
        <f t="shared" si="0"/>
        <v>2414.1181137653084</v>
      </c>
      <c r="I10" s="266" t="str">
        <f>'3.Mud design'!G26</f>
        <v>H-40 42</v>
      </c>
      <c r="J10" s="269">
        <v>42</v>
      </c>
      <c r="K10" s="266">
        <f t="shared" si="1"/>
        <v>1921.9921295133399</v>
      </c>
      <c r="L10" s="266">
        <f>'1.Casing design'!B79</f>
        <v>3251.3342756191173</v>
      </c>
      <c r="M10" s="266">
        <f>700+L10</f>
        <v>3951.3342756191173</v>
      </c>
      <c r="N10" s="266">
        <v>3</v>
      </c>
      <c r="O10" s="266">
        <v>80</v>
      </c>
      <c r="P10" s="268">
        <f>'1.Casing design'!J5</f>
        <v>9.5449999999999999</v>
      </c>
      <c r="Q10" s="465">
        <f>Q9</f>
        <v>1968.5038999999999</v>
      </c>
      <c r="R10" s="465"/>
      <c r="S10" s="465"/>
      <c r="T10" s="270">
        <f>G10-G9</f>
        <v>452.17585654746063</v>
      </c>
    </row>
    <row r="11" spans="1:20" x14ac:dyDescent="0.2">
      <c r="A11" s="277" t="s">
        <v>298</v>
      </c>
      <c r="B11" s="284" t="s">
        <v>347</v>
      </c>
      <c r="C11" s="320">
        <v>12.25</v>
      </c>
      <c r="D11" s="321">
        <v>9.625</v>
      </c>
      <c r="E11" s="322">
        <f>'1.Casing design'!AA126</f>
        <v>9.0009999999999994</v>
      </c>
      <c r="F11" s="323">
        <f>'3.Mud design'!D27</f>
        <v>2314.1181137653084</v>
      </c>
      <c r="G11" s="323">
        <f>'3.Mud design'!E27</f>
        <v>2849.8897708377035</v>
      </c>
      <c r="H11" s="323">
        <f t="shared" si="0"/>
        <v>535.7716570723951</v>
      </c>
      <c r="I11" s="324" t="str">
        <f>'3.Mud design'!G27</f>
        <v>H-40 32.3</v>
      </c>
      <c r="J11" s="325">
        <v>32.299999999999997</v>
      </c>
      <c r="K11" s="324">
        <f t="shared" si="1"/>
        <v>2357.763786585735</v>
      </c>
      <c r="L11" s="324">
        <f>'1.Casing design'!B114</f>
        <v>2460.6176272594398</v>
      </c>
      <c r="M11" s="324">
        <f>500+L11</f>
        <v>2960.6176272594398</v>
      </c>
      <c r="N11" s="324">
        <v>3</v>
      </c>
      <c r="O11" s="324">
        <v>80</v>
      </c>
      <c r="P11" s="326">
        <f>'1.Casing design'!J6</f>
        <v>13.280000000000001</v>
      </c>
      <c r="Q11" s="462">
        <v>2624.6718999999998</v>
      </c>
      <c r="R11" s="462"/>
      <c r="S11" s="462"/>
      <c r="T11" s="349">
        <f>G11-G10</f>
        <v>435.7716570723951</v>
      </c>
    </row>
    <row r="12" spans="1:20" x14ac:dyDescent="0.2">
      <c r="B12" s="284" t="s">
        <v>348</v>
      </c>
      <c r="C12" s="309">
        <v>8.5</v>
      </c>
      <c r="D12" s="301">
        <v>7</v>
      </c>
      <c r="E12" s="316">
        <f>'1.Casing design'!AA165</f>
        <v>6.2759999999999998</v>
      </c>
      <c r="F12" s="300">
        <f>'3.Mud design'!D28</f>
        <v>0</v>
      </c>
      <c r="G12" s="300">
        <f>'3.Mud design'!E28</f>
        <v>3751.4654807355018</v>
      </c>
      <c r="H12" s="300">
        <f t="shared" si="0"/>
        <v>3751.4654807355018</v>
      </c>
      <c r="I12" s="294" t="str">
        <f>'3.Mud design'!G28</f>
        <v>c-75 26</v>
      </c>
      <c r="J12" s="301">
        <v>26</v>
      </c>
      <c r="K12" s="294"/>
      <c r="L12" s="294"/>
      <c r="M12" s="294"/>
      <c r="N12" s="294"/>
      <c r="O12" s="294"/>
      <c r="P12" s="318">
        <f>'1.Casing design'!J7</f>
        <v>14.940000000000001</v>
      </c>
      <c r="Q12" s="464">
        <v>984.25197000000003</v>
      </c>
      <c r="R12" s="464"/>
      <c r="S12" s="464"/>
      <c r="T12" s="348">
        <f>G13-G11</f>
        <v>4385.4679248701823</v>
      </c>
    </row>
    <row r="13" spans="1:20" x14ac:dyDescent="0.2">
      <c r="B13" s="311" t="s">
        <v>348</v>
      </c>
      <c r="C13" s="299">
        <v>8.5</v>
      </c>
      <c r="D13" s="294">
        <v>7</v>
      </c>
      <c r="E13" s="316">
        <f>'1.Casing design'!AA166</f>
        <v>6.1840000000000002</v>
      </c>
      <c r="F13" s="300">
        <f>'3.Mud design'!D29</f>
        <v>3751.4654807355018</v>
      </c>
      <c r="G13" s="300">
        <f>'3.Mud design'!E29</f>
        <v>7235.3576957078858</v>
      </c>
      <c r="H13" s="300">
        <f t="shared" si="0"/>
        <v>3483.892214972384</v>
      </c>
      <c r="I13" s="294" t="str">
        <f>'3.Mud design'!G29</f>
        <v>c-75 29</v>
      </c>
      <c r="J13" s="301">
        <v>29</v>
      </c>
      <c r="K13" s="294">
        <f t="shared" si="1"/>
        <v>6743.2317114559173</v>
      </c>
      <c r="L13" s="294">
        <f>'1.Casing design'!B151</f>
        <v>6284.4927066450573</v>
      </c>
      <c r="M13" s="294">
        <f>500+L13</f>
        <v>6784.4927066450573</v>
      </c>
      <c r="N13" s="294">
        <v>2</v>
      </c>
      <c r="O13" s="294">
        <v>120</v>
      </c>
      <c r="P13" s="318">
        <f>P12</f>
        <v>14.940000000000001</v>
      </c>
      <c r="Q13" s="463"/>
      <c r="R13" s="463"/>
      <c r="S13" s="463"/>
      <c r="T13" s="347"/>
    </row>
    <row r="14" spans="1:20" x14ac:dyDescent="0.2">
      <c r="A14" s="277" t="s">
        <v>298</v>
      </c>
      <c r="B14" s="284" t="s">
        <v>349</v>
      </c>
      <c r="C14" s="320">
        <v>5.875</v>
      </c>
      <c r="D14" s="325">
        <v>5</v>
      </c>
      <c r="E14" s="322">
        <f>'1.Casing design'!AA202</f>
        <v>4.4080000000000004</v>
      </c>
      <c r="F14" s="323">
        <f>'3.Mud design'!D30</f>
        <v>7085.3576957078858</v>
      </c>
      <c r="G14" s="323">
        <f>'3.Mud design'!E30</f>
        <v>8451.443569553805</v>
      </c>
      <c r="H14" s="323">
        <f t="shared" si="0"/>
        <v>1366.0858738459192</v>
      </c>
      <c r="I14" s="324" t="str">
        <f>'3.Mud design'!G30</f>
        <v>c-75 15</v>
      </c>
      <c r="J14" s="325">
        <v>15</v>
      </c>
      <c r="K14" s="324">
        <f t="shared" si="1"/>
        <v>7959.3175853018365</v>
      </c>
      <c r="L14" s="324">
        <f>'1.Casing design'!B188</f>
        <v>5203.743922204214</v>
      </c>
      <c r="M14" s="324"/>
      <c r="N14" s="324">
        <v>3</v>
      </c>
      <c r="O14" s="324">
        <v>120</v>
      </c>
      <c r="P14" s="326">
        <f>'1.Casing design'!J8</f>
        <v>12.450000000000001</v>
      </c>
      <c r="Q14" s="462"/>
      <c r="R14" s="462"/>
      <c r="S14" s="462"/>
      <c r="T14" s="350"/>
    </row>
    <row r="15" spans="1:20" x14ac:dyDescent="0.2">
      <c r="K15" s="351"/>
    </row>
    <row r="16" spans="1:20" x14ac:dyDescent="0.2">
      <c r="C16" s="313"/>
      <c r="D16" s="313"/>
      <c r="E16" s="313"/>
      <c r="F16" s="313"/>
      <c r="G16" s="313"/>
      <c r="H16" s="313"/>
      <c r="I16" s="313"/>
      <c r="J16" s="313"/>
      <c r="K16" s="352" t="s">
        <v>390</v>
      </c>
      <c r="L16" s="354" t="s">
        <v>391</v>
      </c>
      <c r="M16" s="290" t="s">
        <v>392</v>
      </c>
    </row>
    <row r="17" spans="1:16" x14ac:dyDescent="0.2">
      <c r="C17" s="314"/>
      <c r="D17" s="314"/>
      <c r="E17" s="314"/>
      <c r="F17" s="314"/>
      <c r="G17" s="314"/>
      <c r="H17" s="314"/>
      <c r="I17" s="314"/>
      <c r="J17" s="314"/>
      <c r="K17" s="353">
        <f>0.052*K8*(N8+'3.Mud design'!C66)</f>
        <v>411.45767716535426</v>
      </c>
      <c r="L17" s="354" t="s">
        <v>391</v>
      </c>
      <c r="M17" s="289">
        <f>M8</f>
        <v>1418.1220472440946</v>
      </c>
      <c r="N17" s="208" t="s">
        <v>393</v>
      </c>
    </row>
    <row r="18" spans="1:16" x14ac:dyDescent="0.2">
      <c r="B18" s="461" t="s">
        <v>336</v>
      </c>
      <c r="C18" s="461"/>
      <c r="D18" s="284" t="s">
        <v>337</v>
      </c>
      <c r="E18" s="314"/>
      <c r="F18" s="314"/>
      <c r="G18" s="314"/>
      <c r="H18" s="314"/>
      <c r="I18" s="314"/>
      <c r="J18" s="314"/>
      <c r="K18" s="353">
        <f>0.052*K9*(N9+'3.Mud design'!C67)</f>
        <v>1833.7192650918637</v>
      </c>
      <c r="L18" s="354" t="s">
        <v>391</v>
      </c>
      <c r="M18" s="289">
        <f>M9</f>
        <v>2859.6824934383203</v>
      </c>
      <c r="N18" s="208" t="s">
        <v>393</v>
      </c>
    </row>
    <row r="19" spans="1:16" x14ac:dyDescent="0.2">
      <c r="B19" s="461" t="s">
        <v>338</v>
      </c>
      <c r="C19" s="461"/>
      <c r="D19" s="284" t="s">
        <v>339</v>
      </c>
      <c r="E19" s="314"/>
      <c r="F19" s="314"/>
      <c r="G19" s="314"/>
      <c r="H19" s="314"/>
      <c r="I19" s="314"/>
      <c r="J19" s="314"/>
      <c r="K19" s="353">
        <f>0.052*K10*(N10+'3.Mud design'!C68)</f>
        <v>1257.2403996470789</v>
      </c>
      <c r="L19" s="354" t="s">
        <v>391</v>
      </c>
      <c r="M19" s="289">
        <f>M10</f>
        <v>3951.3342756191173</v>
      </c>
      <c r="N19" s="208" t="s">
        <v>393</v>
      </c>
    </row>
    <row r="20" spans="1:16" x14ac:dyDescent="0.2">
      <c r="B20" s="461" t="s">
        <v>340</v>
      </c>
      <c r="C20" s="461"/>
      <c r="D20" s="284" t="s">
        <v>341</v>
      </c>
      <c r="E20" s="314"/>
      <c r="F20" s="314"/>
      <c r="G20" s="314"/>
      <c r="H20" s="314"/>
      <c r="I20" s="314"/>
      <c r="J20" s="314"/>
      <c r="K20" s="353">
        <f>0.052*K11*(N11+'3.Mud design'!C69)</f>
        <v>2001.8734895833381</v>
      </c>
      <c r="L20" s="354" t="s">
        <v>391</v>
      </c>
      <c r="M20" s="289">
        <f>M11</f>
        <v>2960.6176272594398</v>
      </c>
      <c r="N20" s="208" t="s">
        <v>393</v>
      </c>
    </row>
    <row r="21" spans="1:16" x14ac:dyDescent="0.2">
      <c r="B21" s="461" t="s">
        <v>342</v>
      </c>
      <c r="C21" s="461"/>
      <c r="D21" s="284" t="s">
        <v>343</v>
      </c>
      <c r="E21" s="314"/>
      <c r="F21" s="314"/>
      <c r="G21" s="314"/>
      <c r="H21" s="314"/>
      <c r="I21" s="314"/>
      <c r="J21" s="314"/>
      <c r="K21" s="353"/>
      <c r="L21" s="354" t="s">
        <v>391</v>
      </c>
      <c r="M21" s="289"/>
      <c r="N21" s="208" t="s">
        <v>393</v>
      </c>
    </row>
    <row r="22" spans="1:16" x14ac:dyDescent="0.2">
      <c r="B22" s="461" t="s">
        <v>357</v>
      </c>
      <c r="C22" s="461"/>
      <c r="D22" s="284" t="s">
        <v>358</v>
      </c>
      <c r="E22" s="314"/>
      <c r="F22" s="314"/>
      <c r="G22" s="314"/>
      <c r="H22" s="314"/>
      <c r="I22" s="314"/>
      <c r="J22" s="314"/>
      <c r="K22" s="353">
        <f>0.052*K13*(N13+'3.Mud design'!C71)</f>
        <v>5082.6434701927838</v>
      </c>
      <c r="L22" s="354" t="s">
        <v>391</v>
      </c>
      <c r="M22" s="289">
        <f>M13</f>
        <v>6784.4927066450573</v>
      </c>
      <c r="N22" s="208" t="s">
        <v>393</v>
      </c>
    </row>
    <row r="23" spans="1:16" x14ac:dyDescent="0.2">
      <c r="B23" s="461" t="s">
        <v>363</v>
      </c>
      <c r="C23" s="461"/>
      <c r="D23" s="284" t="s">
        <v>364</v>
      </c>
    </row>
    <row r="24" spans="1:16" x14ac:dyDescent="0.2">
      <c r="B24" s="461" t="s">
        <v>365</v>
      </c>
      <c r="C24" s="461"/>
      <c r="D24" s="284" t="s">
        <v>366</v>
      </c>
    </row>
    <row r="25" spans="1:16" x14ac:dyDescent="0.2">
      <c r="B25" s="461" t="s">
        <v>369</v>
      </c>
      <c r="C25" s="461"/>
      <c r="D25" s="284" t="s">
        <v>370</v>
      </c>
    </row>
    <row r="26" spans="1:16" x14ac:dyDescent="0.2">
      <c r="B26" s="461" t="s">
        <v>375</v>
      </c>
      <c r="C26" s="461"/>
      <c r="D26" s="284" t="s">
        <v>372</v>
      </c>
    </row>
    <row r="29" spans="1:16" x14ac:dyDescent="0.2">
      <c r="A29" s="284"/>
      <c r="B29" s="284" t="s">
        <v>353</v>
      </c>
      <c r="C29" s="284" t="s">
        <v>352</v>
      </c>
      <c r="D29" s="284" t="s">
        <v>350</v>
      </c>
      <c r="E29" s="284" t="s">
        <v>351</v>
      </c>
      <c r="F29" s="284" t="s">
        <v>355</v>
      </c>
      <c r="G29" s="284" t="s">
        <v>356</v>
      </c>
      <c r="H29" s="284" t="s">
        <v>359</v>
      </c>
      <c r="I29" s="284" t="s">
        <v>360</v>
      </c>
      <c r="J29" s="284" t="s">
        <v>362</v>
      </c>
      <c r="K29" s="284" t="s">
        <v>367</v>
      </c>
      <c r="L29" s="284" t="s">
        <v>368</v>
      </c>
      <c r="M29" s="284" t="s">
        <v>371</v>
      </c>
      <c r="N29" s="284" t="s">
        <v>372</v>
      </c>
      <c r="O29" s="287" t="s">
        <v>373</v>
      </c>
      <c r="P29" s="287" t="s">
        <v>374</v>
      </c>
    </row>
    <row r="30" spans="1:16" x14ac:dyDescent="0.2">
      <c r="A30" s="317" t="s">
        <v>325</v>
      </c>
      <c r="B30" s="317">
        <f>(((E7^2)-(D8^2))/1029)*G7</f>
        <v>56.242969628796402</v>
      </c>
      <c r="C30" s="317">
        <f>(((C8^2)-(D8^2))/1029)*(G8-G7)</f>
        <v>228.79793087088603</v>
      </c>
      <c r="D30" s="317">
        <f>(((E8^2)/1029)*O8)</f>
        <v>14.03304178814383</v>
      </c>
      <c r="E30" s="317">
        <f>((E8^2)/1029)*(G8-O8)</f>
        <v>331.26818331382049</v>
      </c>
      <c r="F30" s="317">
        <f>'2.Hydraulic Design'!E39</f>
        <v>25.044442501602845</v>
      </c>
      <c r="G30" s="317">
        <f t="shared" ref="G30:G35" si="2">(E30/F30)</f>
        <v>13.227213314595417</v>
      </c>
      <c r="H30" s="317">
        <f>(0.052*P8*(G8-O8))+0.052*O8*(P8+N8)</f>
        <v>624.2845669291338</v>
      </c>
      <c r="I30" s="317">
        <f>0.052*G8*(P8+N8)</f>
        <v>820.68897637795271</v>
      </c>
      <c r="J30" s="317">
        <f t="shared" ref="J30:J35" si="3">I30-H30</f>
        <v>196.40440944881891</v>
      </c>
      <c r="K30" s="317">
        <f>(0.052*G8*(P8+N8))</f>
        <v>820.68897637795271</v>
      </c>
      <c r="L30" s="317">
        <f>H8*J8</f>
        <v>104822.83464566928</v>
      </c>
      <c r="M30" s="317">
        <f>H30*(E8^2)*(3.14159/4)</f>
        <v>177002.46527385549</v>
      </c>
      <c r="N30" s="317">
        <f t="shared" ref="N30:N35" si="4">J30</f>
        <v>196.40440944881891</v>
      </c>
      <c r="O30" s="317">
        <f t="shared" ref="O30:O35" si="5">K30-L30-M30</f>
        <v>-281004.61094314681</v>
      </c>
      <c r="P30" s="317">
        <f t="shared" ref="P30:P35" si="6">K30+J30-L30-M30</f>
        <v>-280808.20653369802</v>
      </c>
    </row>
    <row r="31" spans="1:16" x14ac:dyDescent="0.2">
      <c r="A31" s="317" t="s">
        <v>379</v>
      </c>
      <c r="B31" s="317">
        <f>(((E8^2)-(D9^2))/1029)*G8</f>
        <v>174.19000080347098</v>
      </c>
      <c r="C31" s="317">
        <f>(((C9^2)-(D9^2))/1029)*(G9-G8)</f>
        <v>121.00876979025581</v>
      </c>
      <c r="D31" s="317">
        <f>(((E9^2)/1029)*O9)</f>
        <v>12.17688824101069</v>
      </c>
      <c r="E31" s="317">
        <f>((E9^2)/1029)*(G9-O9)</f>
        <v>286.45250677721407</v>
      </c>
      <c r="F31" s="317">
        <f>'2.Hydraulic Design'!E101</f>
        <v>10.598808066678325</v>
      </c>
      <c r="G31" s="317">
        <f t="shared" si="2"/>
        <v>27.026860471017898</v>
      </c>
      <c r="H31" s="317">
        <f>(0.052*P9*(G9-O9))+0.052*O9*(P9+N9)</f>
        <v>2048.8982677165359</v>
      </c>
      <c r="I31" s="317">
        <f>0.052*G9*(P9+N9)</f>
        <v>2440.3422572178479</v>
      </c>
      <c r="J31" s="317">
        <f t="shared" si="3"/>
        <v>391.44398950131199</v>
      </c>
      <c r="K31" s="317">
        <f>(0.052*G9*(P9+N9))</f>
        <v>2440.3422572178479</v>
      </c>
      <c r="L31" s="317">
        <f>H9*J9</f>
        <v>119678.47769028871</v>
      </c>
      <c r="M31" s="317">
        <f>H31*(E9^2)*(3.14159/4)</f>
        <v>252041.24585181478</v>
      </c>
      <c r="N31" s="317">
        <f t="shared" si="4"/>
        <v>391.44398950131199</v>
      </c>
      <c r="O31" s="317">
        <f t="shared" si="5"/>
        <v>-369279.38128488563</v>
      </c>
      <c r="P31" s="317">
        <f t="shared" si="6"/>
        <v>-368887.93729538436</v>
      </c>
    </row>
    <row r="32" spans="1:16" x14ac:dyDescent="0.2">
      <c r="A32" s="317" t="s">
        <v>378</v>
      </c>
      <c r="B32" s="317">
        <f>(((E9^2)-(D10^2))/1029)*G9</f>
        <v>35.392608927710569</v>
      </c>
      <c r="C32" s="317">
        <f>(((C10^2)-(D10^2))/1029)*(G10-G9)</f>
        <v>34.93486938340439</v>
      </c>
      <c r="D32" s="317">
        <f>(((E10^2)/1029)*O10)</f>
        <v>9.5514134888240996</v>
      </c>
      <c r="E32" s="317">
        <f>((E10^2)/1029)*(G10-O10)</f>
        <v>278.67659045408288</v>
      </c>
      <c r="F32" s="317">
        <f>'2.Hydraulic Design'!E163</f>
        <v>15.707874337005302</v>
      </c>
      <c r="G32" s="317">
        <f t="shared" si="2"/>
        <v>17.741203200076811</v>
      </c>
      <c r="H32" s="317">
        <f>(0.052*P10*(G10-O10))+0.052*O10*(P10+N10)</f>
        <v>1210.7033845862732</v>
      </c>
      <c r="I32" s="317">
        <f>0.052*G10*(P10+N10)</f>
        <v>1574.8258103336611</v>
      </c>
      <c r="J32" s="317">
        <f t="shared" si="3"/>
        <v>364.12242574738798</v>
      </c>
      <c r="K32" s="317">
        <f>(0.052*G10*(P10+N10))</f>
        <v>1574.8258103336611</v>
      </c>
      <c r="L32" s="317">
        <f>H10*J10</f>
        <v>101392.96077814295</v>
      </c>
      <c r="M32" s="317">
        <f>H32*(E10^2)*(3.14159/4)</f>
        <v>116820.83476876265</v>
      </c>
      <c r="N32" s="317">
        <f t="shared" si="4"/>
        <v>364.12242574738798</v>
      </c>
      <c r="O32" s="317">
        <f t="shared" si="5"/>
        <v>-216638.96973657195</v>
      </c>
      <c r="P32" s="317">
        <f t="shared" si="6"/>
        <v>-216274.84731082455</v>
      </c>
    </row>
    <row r="33" spans="1:16" x14ac:dyDescent="0.2">
      <c r="A33" s="317" t="s">
        <v>378</v>
      </c>
      <c r="B33" s="317">
        <f>(((E10^2)-(D11^2))/1029)*(G10-F11)</f>
        <v>2.9362906705539351</v>
      </c>
      <c r="C33" s="317">
        <f>(((C11^2)-(D11^2))/1029)*(G11-G10)</f>
        <v>24.317614791986337</v>
      </c>
      <c r="D33" s="317">
        <f>(((E11^2)/1029)*O11)</f>
        <v>6.2987755879494642</v>
      </c>
      <c r="E33" s="317">
        <f>(((E11^2)/1029)*(G11-O11-G10))+(((E10^2)/1029)*F11)</f>
        <v>304.30030993752604</v>
      </c>
      <c r="F33" s="317">
        <f>'2.Hydraulic Design'!E225</f>
        <v>8.8356793145654837</v>
      </c>
      <c r="G33" s="317">
        <f t="shared" si="2"/>
        <v>34.439945034660951</v>
      </c>
      <c r="H33" s="317">
        <f>(0.052*P11*(G11-O11))+0.052*O11*(P11+N11)</f>
        <v>1980.4998801496847</v>
      </c>
      <c r="I33" s="317">
        <f>0.052*G11*(P11+N11)</f>
        <v>2412.6026844003663</v>
      </c>
      <c r="J33" s="317">
        <f t="shared" si="3"/>
        <v>432.10280425068163</v>
      </c>
      <c r="K33" s="317">
        <f>(0.052*G11*(P11+N11))</f>
        <v>2412.6026844003663</v>
      </c>
      <c r="L33" s="317">
        <f>H11*J11</f>
        <v>17305.42452343836</v>
      </c>
      <c r="M33" s="317">
        <f>H33*(E11^2)*(3.14159/4)</f>
        <v>126021.85221347159</v>
      </c>
      <c r="N33" s="317">
        <f t="shared" si="4"/>
        <v>432.10280425068163</v>
      </c>
      <c r="O33" s="317">
        <f t="shared" si="5"/>
        <v>-140914.6740525096</v>
      </c>
      <c r="P33" s="317">
        <f t="shared" si="6"/>
        <v>-140482.5712482589</v>
      </c>
    </row>
    <row r="34" spans="1:16" x14ac:dyDescent="0.2">
      <c r="A34" s="317" t="s">
        <v>378</v>
      </c>
      <c r="B34" s="317">
        <f>((((E11^2)-(D12^2))/1029)*(G11-G10))+(((E10^2)-(D12^2))/1029)*(G10-100)</f>
        <v>179.65195358082292</v>
      </c>
      <c r="C34" s="317">
        <f>(((C12^2)-(D12^2))/1029)*(G13-G11)</f>
        <v>99.088560984676121</v>
      </c>
      <c r="D34" s="317">
        <f>(((E13^2)/1029)*O13)</f>
        <v>4.4596916618075797</v>
      </c>
      <c r="E34" s="317">
        <f>(((E13^2)/1029)*(H13-O13))+(((E12^2)/1029)*(G12))</f>
        <v>268.61502847194311</v>
      </c>
      <c r="F34" s="317">
        <f>'2.Hydraulic Design'!E287</f>
        <v>6.4915194964154566</v>
      </c>
      <c r="G34" s="317">
        <f t="shared" si="2"/>
        <v>41.379376372553338</v>
      </c>
      <c r="H34" s="317">
        <f>(0.052*P12*(G13-O13))+0.052*O13*(P12+N13)</f>
        <v>5633.4846866415428</v>
      </c>
      <c r="I34" s="317">
        <f>0.052*G13*(P12+N13)</f>
        <v>6373.4818869951632</v>
      </c>
      <c r="J34" s="317">
        <f t="shared" si="3"/>
        <v>739.99720035362043</v>
      </c>
      <c r="K34" s="317">
        <f>(0.052*G13*(P13+N13))</f>
        <v>6373.4818869951632</v>
      </c>
      <c r="L34" s="317">
        <f>H13*J13+H12*J12</f>
        <v>198570.9767333222</v>
      </c>
      <c r="M34" s="317">
        <f>H34*(E11^2)*(3.14159/4)</f>
        <v>358466.15379403054</v>
      </c>
      <c r="N34" s="317">
        <f t="shared" si="4"/>
        <v>739.99720035362043</v>
      </c>
      <c r="O34" s="317">
        <f t="shared" si="5"/>
        <v>-550663.64864035754</v>
      </c>
      <c r="P34" s="317">
        <f t="shared" si="6"/>
        <v>-549923.65144000389</v>
      </c>
    </row>
    <row r="35" spans="1:16" x14ac:dyDescent="0.2">
      <c r="A35" s="317" t="s">
        <v>377</v>
      </c>
      <c r="B35" s="317">
        <f>((((E12^2)-(D14^2))/1029)*G12)+((((E13^2)-(D14^2))/1029)*H13)</f>
        <v>97.288575923160678</v>
      </c>
      <c r="C35" s="317">
        <f>(((C14^2)-(D14^2))/1029)*(G14-G13-150)</f>
        <v>9.8585747262537176</v>
      </c>
      <c r="D35" s="317">
        <f>(((E14^2)/1029)*O14)</f>
        <v>2.2659433236151609</v>
      </c>
      <c r="E35" s="317">
        <f>((E14^2)/1029)*(G14-O14)</f>
        <v>157.32149110422424</v>
      </c>
      <c r="F35" s="317">
        <f>'2.Hydraulic Design'!E349</f>
        <v>6.4915194964154566</v>
      </c>
      <c r="G35" s="317">
        <f t="shared" si="2"/>
        <v>24.234925457914034</v>
      </c>
      <c r="H35" s="317">
        <f>(0.052*P14*(G14-O14))+0.052*O14*(P14+N14)</f>
        <v>5490.1845669291333</v>
      </c>
      <c r="I35" s="317">
        <f>0.052*G14*(P14+N14)</f>
        <v>6789.8897637795271</v>
      </c>
      <c r="J35" s="317">
        <f t="shared" si="3"/>
        <v>1299.7051968503938</v>
      </c>
      <c r="K35" s="317">
        <f>(0.052*G14*(P14+N14))</f>
        <v>6789.8897637795271</v>
      </c>
      <c r="L35" s="317">
        <f>H14*J14</f>
        <v>20491.288107688786</v>
      </c>
      <c r="M35" s="317">
        <f>H35*(E14^2)*(3.14159/4)</f>
        <v>83783.718402490093</v>
      </c>
      <c r="N35" s="317">
        <f t="shared" si="4"/>
        <v>1299.7051968503938</v>
      </c>
      <c r="O35" s="317">
        <f t="shared" si="5"/>
        <v>-97485.116746399348</v>
      </c>
      <c r="P35" s="317">
        <f t="shared" si="6"/>
        <v>-96185.411549548953</v>
      </c>
    </row>
    <row r="36" spans="1:16" x14ac:dyDescent="0.2">
      <c r="A36" s="278"/>
      <c r="B36" s="235"/>
      <c r="C36" s="235"/>
      <c r="D36" s="235"/>
      <c r="E36" s="235"/>
      <c r="F36" s="235"/>
      <c r="G36" s="235"/>
      <c r="H36" s="235"/>
      <c r="I36" s="235"/>
      <c r="J36" s="235"/>
      <c r="K36" s="235"/>
      <c r="L36" s="235"/>
      <c r="M36" s="235"/>
      <c r="N36" s="235"/>
      <c r="O36" s="235"/>
      <c r="P36" s="235"/>
    </row>
    <row r="37" spans="1:16" x14ac:dyDescent="0.2">
      <c r="A37" s="278"/>
      <c r="B37" s="278"/>
      <c r="C37" s="278"/>
      <c r="D37" s="278"/>
      <c r="E37" s="278"/>
      <c r="F37" s="278"/>
      <c r="G37" s="278"/>
      <c r="H37" s="278"/>
      <c r="I37" s="278"/>
      <c r="J37" s="278"/>
      <c r="K37" s="278"/>
      <c r="L37" s="278"/>
      <c r="M37" s="278"/>
      <c r="N37" s="278"/>
      <c r="O37" s="278"/>
      <c r="P37" s="278"/>
    </row>
    <row r="40" spans="1:16" x14ac:dyDescent="0.2">
      <c r="A40" s="373"/>
      <c r="B40" s="362" t="s">
        <v>405</v>
      </c>
      <c r="C40" s="362" t="s">
        <v>203</v>
      </c>
      <c r="D40" s="362" t="s">
        <v>380</v>
      </c>
      <c r="E40" s="362" t="s">
        <v>381</v>
      </c>
      <c r="F40" s="362" t="s">
        <v>382</v>
      </c>
      <c r="G40" s="362" t="s">
        <v>383</v>
      </c>
      <c r="H40" s="362" t="s">
        <v>384</v>
      </c>
    </row>
    <row r="41" spans="1:16" x14ac:dyDescent="0.2">
      <c r="A41" s="373"/>
      <c r="B41" s="269" t="s">
        <v>395</v>
      </c>
      <c r="C41" s="356" t="s">
        <v>396</v>
      </c>
      <c r="D41" s="356" t="s">
        <v>396</v>
      </c>
      <c r="E41" s="356" t="s">
        <v>396</v>
      </c>
      <c r="F41" s="356" t="s">
        <v>397</v>
      </c>
      <c r="G41" s="356" t="s">
        <v>397</v>
      </c>
      <c r="H41" s="356" t="s">
        <v>397</v>
      </c>
    </row>
    <row r="42" spans="1:16" x14ac:dyDescent="0.2">
      <c r="A42" s="373"/>
      <c r="B42" s="362" t="s">
        <v>406</v>
      </c>
      <c r="C42" s="355">
        <v>0.3</v>
      </c>
      <c r="D42" s="355">
        <v>0.3</v>
      </c>
      <c r="E42" s="355">
        <v>0.3</v>
      </c>
      <c r="F42" s="355">
        <v>0.3</v>
      </c>
      <c r="G42" s="355">
        <v>0.3</v>
      </c>
      <c r="H42" s="355">
        <v>0.3</v>
      </c>
    </row>
    <row r="43" spans="1:16" x14ac:dyDescent="0.2">
      <c r="A43" s="373"/>
      <c r="B43" s="362" t="s">
        <v>411</v>
      </c>
      <c r="C43" s="355">
        <f>4+'1.Casing design'!J3</f>
        <v>16.035</v>
      </c>
      <c r="D43" s="355">
        <f>4+'1.Casing design'!J4</f>
        <v>23.92</v>
      </c>
      <c r="E43" s="355">
        <f>3+'1.Casing design'!J5</f>
        <v>12.545</v>
      </c>
      <c r="F43" s="355">
        <f>3+'1.Casing design'!J6</f>
        <v>16.28</v>
      </c>
      <c r="G43" s="355">
        <f>2+'1.Casing design'!J7</f>
        <v>16.940000000000001</v>
      </c>
      <c r="H43" s="355">
        <f>3+'1.Casing design'!J8</f>
        <v>15.450000000000001</v>
      </c>
    </row>
    <row r="44" spans="1:16" x14ac:dyDescent="0.2">
      <c r="A44" s="373"/>
      <c r="B44" s="362" t="s">
        <v>408</v>
      </c>
      <c r="C44" s="355">
        <v>12</v>
      </c>
      <c r="D44" s="368">
        <v>37.200000000000003</v>
      </c>
      <c r="E44" s="368">
        <v>37.200000000000003</v>
      </c>
      <c r="F44" s="355"/>
      <c r="G44" s="355"/>
      <c r="H44" s="355"/>
    </row>
    <row r="45" spans="1:16" x14ac:dyDescent="0.2">
      <c r="A45" s="373"/>
      <c r="B45" s="374" t="s">
        <v>412</v>
      </c>
      <c r="C45" s="360">
        <f t="shared" ref="C45:H45" si="7">IF(C41="a",15.6,IF(C41="b",15.6,IF(C41="c",14.8,IF(C41="d",16.45,IF(C41="e",16.45,IF(C41="f",16.45,IF(C41="g",15.8,IF(C41="h",16.45,""))))))))</f>
        <v>15.8</v>
      </c>
      <c r="D45" s="360">
        <f t="shared" si="7"/>
        <v>15.8</v>
      </c>
      <c r="E45" s="360">
        <f t="shared" si="7"/>
        <v>15.8</v>
      </c>
      <c r="F45" s="360">
        <f t="shared" si="7"/>
        <v>16.45</v>
      </c>
      <c r="G45" s="360">
        <f t="shared" si="7"/>
        <v>16.45</v>
      </c>
      <c r="H45" s="361">
        <f t="shared" si="7"/>
        <v>16.45</v>
      </c>
    </row>
    <row r="46" spans="1:16" ht="12.75" x14ac:dyDescent="0.2">
      <c r="A46" s="373"/>
      <c r="B46" s="362"/>
      <c r="C46" s="359" t="str">
        <f t="shared" ref="C46:H46" si="8">IF(C43&gt;C45,"+ + + +","- - - -")</f>
        <v>+ + + +</v>
      </c>
      <c r="D46" s="359" t="str">
        <f t="shared" si="8"/>
        <v>+ + + +</v>
      </c>
      <c r="E46" s="359" t="str">
        <f t="shared" si="8"/>
        <v>- - - -</v>
      </c>
      <c r="F46" s="359" t="str">
        <f t="shared" si="8"/>
        <v>- - - -</v>
      </c>
      <c r="G46" s="359" t="str">
        <f t="shared" si="8"/>
        <v>+ + + +</v>
      </c>
      <c r="H46" s="359" t="str">
        <f t="shared" si="8"/>
        <v>- - - -</v>
      </c>
    </row>
    <row r="47" spans="1:16" x14ac:dyDescent="0.2">
      <c r="A47" s="373"/>
      <c r="B47" s="362"/>
      <c r="C47" s="370" t="s">
        <v>399</v>
      </c>
      <c r="D47" s="370" t="s">
        <v>399</v>
      </c>
      <c r="E47" s="370" t="s">
        <v>401</v>
      </c>
      <c r="F47" s="370" t="s">
        <v>401</v>
      </c>
      <c r="G47" s="370" t="s">
        <v>398</v>
      </c>
      <c r="H47" s="370" t="s">
        <v>401</v>
      </c>
    </row>
    <row r="48" spans="1:16" x14ac:dyDescent="0.2">
      <c r="A48" s="373"/>
      <c r="B48" s="269" t="s">
        <v>404</v>
      </c>
      <c r="C48" s="371">
        <f t="shared" ref="C48:H48" si="9">IF(C47="CEMENT",0.0382,IF(C47="BARITE",0.0278,IF(C47="BENTONITE",0.0454,IF(C47="HEMATIT",0.0244,IF(C47="SILIS",0.0454,IF(C47="COAL",0.0925,IF(C47="GELSONITE",0.1123,IF(C47="WATER",0.1202,IF(C47="DISPERSANT",0.1014,IF(C47="FLY ASH",0.0483,IF(C47="SALT",B42)))))))))))</f>
        <v>2.7799999999999998E-2</v>
      </c>
      <c r="D48" s="371">
        <f t="shared" si="9"/>
        <v>2.7799999999999998E-2</v>
      </c>
      <c r="E48" s="371">
        <f t="shared" si="9"/>
        <v>0.1123</v>
      </c>
      <c r="F48" s="371">
        <f t="shared" si="9"/>
        <v>0.1123</v>
      </c>
      <c r="G48" s="371">
        <f t="shared" si="9"/>
        <v>2.4400000000000002E-2</v>
      </c>
      <c r="H48" s="371">
        <f t="shared" si="9"/>
        <v>0.1123</v>
      </c>
    </row>
    <row r="49" spans="1:8" x14ac:dyDescent="0.2">
      <c r="A49" s="373"/>
      <c r="B49" s="269" t="s">
        <v>407</v>
      </c>
      <c r="C49" s="356">
        <f t="shared" ref="C49:H49" si="10">IF(C41="a",46,IF(C41="b",46,IF(C41="c",56,IF(C41="d",38,IF(C41="e",38,IF(C41="f",38,IF(C41="g",44,IF(C41="h",38,""))))))))</f>
        <v>44</v>
      </c>
      <c r="D49" s="356">
        <f t="shared" si="10"/>
        <v>44</v>
      </c>
      <c r="E49" s="356">
        <f t="shared" si="10"/>
        <v>44</v>
      </c>
      <c r="F49" s="356">
        <f t="shared" si="10"/>
        <v>38</v>
      </c>
      <c r="G49" s="356">
        <f t="shared" si="10"/>
        <v>38</v>
      </c>
      <c r="H49" s="356">
        <f t="shared" si="10"/>
        <v>38</v>
      </c>
    </row>
    <row r="50" spans="1:8" x14ac:dyDescent="0.2">
      <c r="B50" s="372" t="s">
        <v>413</v>
      </c>
      <c r="C50" s="369">
        <f t="shared" ref="C50:H50" si="11">IF(C44=2,0.0371,IF(C44=4,0.0378,IF(C44=6,0.0384,IF(C44=8,0.039,IF(C44=10,0.0394,IF(C44=12,0.0399,IF(C44=14,0.0403,IF(C44=16,0.0407,IF(C44=18,0.0412,IF(C44=20,0.0416,IF(C44=22,0.042,IF(C44=24,0.0424,IF(C44=26,0.0428,IF(C44=28,0.043,IF(C44=30,0.0433,IF(C44=34,0.0439,IF(C44=37.2,0.0442)))))))))))))))))</f>
        <v>3.9899999999999998E-2</v>
      </c>
      <c r="D50" s="369">
        <f t="shared" si="11"/>
        <v>4.4200000000000003E-2</v>
      </c>
      <c r="E50" s="369">
        <f t="shared" si="11"/>
        <v>4.4200000000000003E-2</v>
      </c>
      <c r="F50" s="369" t="b">
        <f t="shared" si="11"/>
        <v>0</v>
      </c>
      <c r="G50" s="369" t="b">
        <f t="shared" si="11"/>
        <v>0</v>
      </c>
      <c r="H50" s="369" t="b">
        <f t="shared" si="11"/>
        <v>0</v>
      </c>
    </row>
    <row r="52" spans="1:8" ht="15" x14ac:dyDescent="0.25">
      <c r="F52" s="366"/>
    </row>
    <row r="55" spans="1:8" x14ac:dyDescent="0.2">
      <c r="A55" s="223"/>
      <c r="B55" s="362" t="s">
        <v>203</v>
      </c>
      <c r="C55" s="362" t="s">
        <v>394</v>
      </c>
      <c r="D55" s="269" t="s">
        <v>404</v>
      </c>
      <c r="E55" s="269" t="s">
        <v>409</v>
      </c>
    </row>
    <row r="56" spans="1:8" x14ac:dyDescent="0.2">
      <c r="A56" s="223"/>
      <c r="B56" s="368" t="s">
        <v>400</v>
      </c>
      <c r="C56" s="355">
        <v>94</v>
      </c>
      <c r="D56" s="356">
        <f>IF(B56="CEMENT",0.0382,IF(B56="BARITE",0.0278,IF(B56="BENTONITE",0.0454,IF(B56="HEMATIT",0.0244,IF(B56="SILIS",0.0454,IF(B56="COAL",0.0925,IF(B56="GELSONITE",0.1123,IF(B56="WATER",0.1202,IF(B56="DISPERSANT",0.1014,IF(B56="FLY ASH",0.0483,IF(B56="SALT",C50)))))))))))</f>
        <v>3.8199999999999998E-2</v>
      </c>
      <c r="E56" s="356">
        <f>C56*D56</f>
        <v>3.5907999999999998</v>
      </c>
    </row>
    <row r="57" spans="1:8" x14ac:dyDescent="0.2">
      <c r="A57" s="223"/>
      <c r="B57" s="368" t="s">
        <v>402</v>
      </c>
      <c r="C57" s="369">
        <f>C49*C56/100</f>
        <v>41.36</v>
      </c>
      <c r="D57" s="369">
        <f>IF(B57="CEMENT",0.0382,IF(B57="BARITE",0.0278,IF(B57="BENTONITE",0.0454,IF(B57="HEMATIT",0.0244,IF(B57="SILIS",0.0454,IF(B57="COAL",0.0925,IF(B57="GELSONITE",0.1123,IF(B57="WATER",0.1202,IF(B57="DISPERSANT",0.1014,IF(B57="FLY ASH",0.0483,IF(B57="SALT",D51)))))))))))</f>
        <v>0.1202</v>
      </c>
      <c r="E57" s="356">
        <f>C57*D57</f>
        <v>4.9714720000000003</v>
      </c>
    </row>
    <row r="58" spans="1:8" x14ac:dyDescent="0.2">
      <c r="A58" s="223"/>
      <c r="B58" s="368" t="s">
        <v>414</v>
      </c>
      <c r="C58" s="369">
        <f>C44*C57/100</f>
        <v>4.9631999999999996</v>
      </c>
      <c r="D58" s="369">
        <f>IF(B58="CEMENT",0.0382,IF(B58="BARITE",0.0278,IF(B58="BENTONITE",0.0454,IF(B58="HEMATIT",0.0244,IF(B58="SILIS",0.0454,IF(B58="COAL",0.0925,IF(B58="GELSONITE",0.1123,IF(B58="WATER",0.1202,IF(B58="DISPERSANT",0.1014,IF(B58="FLY ASH",0.0483,IF(B58="SALT",C50)))))))))))</f>
        <v>3.9899999999999998E-2</v>
      </c>
      <c r="E58" s="356">
        <f>C58*D58</f>
        <v>0.19803167999999999</v>
      </c>
    </row>
    <row r="59" spans="1:8" x14ac:dyDescent="0.2">
      <c r="A59" s="223"/>
      <c r="B59" s="368" t="s">
        <v>403</v>
      </c>
      <c r="C59" s="369">
        <f>C42</f>
        <v>0.3</v>
      </c>
      <c r="D59" s="369">
        <f>IF(B59="CEMENT",0.0382,IF(B59="BARITE",0.0278,IF(B59="BENTONITE",0.0454,IF(B59="HEMATIT",0.0244,IF(B59="SILIS",0.0454,IF(B59="COAL",0.0925,IF(B59="GELSONITE",0.1123,IF(B59="WATER",0.1202,IF(B59="DISPERSANT",0.1014,IF(B59="FLY ASH",0.0483,IF(B59="SALT",D53)))))))))))</f>
        <v>0.1014</v>
      </c>
      <c r="E59" s="356">
        <f>C59*D59</f>
        <v>3.0419999999999999E-2</v>
      </c>
      <c r="F59" s="365" t="s">
        <v>410</v>
      </c>
    </row>
    <row r="60" spans="1:8" x14ac:dyDescent="0.2">
      <c r="A60" s="223"/>
      <c r="B60" s="368" t="s">
        <v>399</v>
      </c>
      <c r="C60" s="367">
        <f>((C43*(SUM(E56:E59)))-SUM(C56:C59))/(1-(C43*D60))</f>
        <v>0.6063475954797668</v>
      </c>
      <c r="D60" s="369">
        <f>IF(B60="CEMENT",0.0382,IF(B60="BARITE",0.0278,IF(B60="BENTONITE",0.0454,IF(B60="HEMATIT",0.0244,IF(B60="SILIS",0.0454,IF(B60="COAL",0.0925,IF(B60="GELSONITE",0.1123,IF(B60="WATER",0.1202,IF(B60="DISPERSANT",0.1014,IF(B60="FLY ASH",0.0483,IF(B60="SALT",D54)))))))))))</f>
        <v>2.7799999999999998E-2</v>
      </c>
      <c r="E60" s="356">
        <f>C60*D60</f>
        <v>1.6856463154337517E-2</v>
      </c>
      <c r="F60" s="365">
        <f>SUM(E56:E60)/7.48</f>
        <v>1.1774839763575315</v>
      </c>
    </row>
    <row r="61" spans="1:8" x14ac:dyDescent="0.2">
      <c r="A61" s="223"/>
    </row>
    <row r="62" spans="1:8" x14ac:dyDescent="0.2">
      <c r="A62" s="223"/>
      <c r="B62" s="362" t="s">
        <v>380</v>
      </c>
      <c r="C62" s="362" t="s">
        <v>394</v>
      </c>
      <c r="D62" s="269" t="s">
        <v>404</v>
      </c>
      <c r="E62" s="269" t="s">
        <v>409</v>
      </c>
    </row>
    <row r="63" spans="1:8" x14ac:dyDescent="0.2">
      <c r="A63" s="223"/>
      <c r="B63" s="368" t="s">
        <v>400</v>
      </c>
      <c r="C63" s="355">
        <v>94</v>
      </c>
      <c r="D63" s="369">
        <f>IF(B63="CEMENT",0.0382,IF(B63="BARITE",0.0278,IF(B63="BENTONITE",0.0454,IF(B63="HEMATIT",0.0244,IF(B63="SILIS",0.0454,IF(B63="COAL",0.0925,IF(B63="GELSONITE",0.1123,IF(B63="WATER",0.1202,IF(B63="DISPERSANT",0.1014,IF(B63="FLY ASH",0.0483,IF(B63="SALT",C57)))))))))))</f>
        <v>3.8199999999999998E-2</v>
      </c>
      <c r="E63" s="356">
        <f>C63*D63</f>
        <v>3.5907999999999998</v>
      </c>
    </row>
    <row r="64" spans="1:8" x14ac:dyDescent="0.2">
      <c r="A64" s="223"/>
      <c r="B64" s="368" t="s">
        <v>402</v>
      </c>
      <c r="C64" s="369">
        <f>D49*C63/100</f>
        <v>41.36</v>
      </c>
      <c r="D64" s="369">
        <f>IF(B64="CEMENT",0.0382,IF(B64="BARITE",0.0278,IF(B64="BENTONITE",0.0454,IF(B64="HEMATIT",0.0244,IF(B64="SILIS",0.0454,IF(B64="COAL",0.0925,IF(B64="GELSONITE",0.1123,IF(B64="WATER",0.1202,IF(B64="DISPERSANT",0.1014,IF(B64="FLY ASH",0.0483,IF(B64="SALT",C58)))))))))))</f>
        <v>0.1202</v>
      </c>
      <c r="E64" s="356">
        <f>C64*D64</f>
        <v>4.9714720000000003</v>
      </c>
    </row>
    <row r="65" spans="1:6" x14ac:dyDescent="0.2">
      <c r="A65" s="223"/>
      <c r="B65" s="368" t="s">
        <v>414</v>
      </c>
      <c r="C65" s="369">
        <f>D44*C64/100</f>
        <v>15.38592</v>
      </c>
      <c r="D65" s="369">
        <f>IF(B65="CEMENT",0.0382,IF(B65="BARITE",0.0278,IF(B65="BENTONITE",0.0454,IF(B65="HEMATIT",0.0244,IF(B65="SILIS",0.0454,IF(B65="COAL",0.0925,IF(B65="GELSONITE",0.1123,IF(B65="WATER",0.1202,IF(B65="DISPERSANT",0.1014,IF(B65="FLY ASH",0.0483,IF(B65="SALT",C59)))))))))))</f>
        <v>0.3</v>
      </c>
      <c r="E65" s="356">
        <f>C65*D65</f>
        <v>4.6157760000000003</v>
      </c>
    </row>
    <row r="66" spans="1:6" x14ac:dyDescent="0.2">
      <c r="A66" s="223"/>
      <c r="B66" s="368" t="s">
        <v>403</v>
      </c>
      <c r="C66" s="369">
        <f>D42</f>
        <v>0.3</v>
      </c>
      <c r="D66" s="369">
        <f>IF(B66="CEMENT",0.0382,IF(B66="BARITE",0.0278,IF(B66="BENTONITE",0.0454,IF(B66="HEMATIT",0.0244,IF(B66="SILIS",0.0454,IF(B66="COAL",0.0925,IF(B66="GELSONITE",0.1123,IF(B66="WATER",0.1202,IF(B66="DISPERSANT",0.1014,IF(B66="FLY ASH",0.0483,IF(B66="SALT",C60)))))))))))</f>
        <v>0.1014</v>
      </c>
      <c r="E66" s="356">
        <f>C66*D66</f>
        <v>3.0419999999999999E-2</v>
      </c>
      <c r="F66" s="365" t="s">
        <v>410</v>
      </c>
    </row>
    <row r="67" spans="1:6" x14ac:dyDescent="0.2">
      <c r="A67" s="223"/>
      <c r="B67" s="368" t="s">
        <v>399</v>
      </c>
      <c r="C67" s="367">
        <f>((D43*(SUM(E56:E59)))-SUM(C56:C59))/(1-(D43*D67))</f>
        <v>207.89827124504501</v>
      </c>
      <c r="D67" s="369">
        <f>IF(B67="CEMENT",0.0382,IF(B67="BARITE",0.0278,IF(B67="BENTONITE",0.0454,IF(B67="HEMATIT",0.0244,IF(B67="SILIS",0.0454,IF(B67="COAL",0.0925,IF(B67="GELSONITE",0.1123,IF(B67="WATER",0.1202,IF(B67="DISPERSANT",0.1014,IF(B67="FLY ASH",0.0483,IF(B67="SALT",C61)))))))))))</f>
        <v>2.7799999999999998E-2</v>
      </c>
      <c r="E67" s="356">
        <f>C67*D67</f>
        <v>5.779571940612251</v>
      </c>
      <c r="F67" s="365">
        <f>SUM(E63:E67)/7.48</f>
        <v>2.5385080134508353</v>
      </c>
    </row>
    <row r="68" spans="1:6" x14ac:dyDescent="0.2">
      <c r="A68" s="223"/>
    </row>
    <row r="69" spans="1:6" x14ac:dyDescent="0.2">
      <c r="A69" s="223"/>
      <c r="B69" s="362" t="s">
        <v>381</v>
      </c>
      <c r="C69" s="362" t="s">
        <v>394</v>
      </c>
      <c r="D69" s="269" t="s">
        <v>404</v>
      </c>
      <c r="E69" s="269" t="s">
        <v>409</v>
      </c>
    </row>
    <row r="70" spans="1:6" x14ac:dyDescent="0.2">
      <c r="A70" s="223"/>
      <c r="B70" s="368" t="s">
        <v>400</v>
      </c>
      <c r="C70" s="355">
        <v>94</v>
      </c>
      <c r="D70" s="369">
        <f>IF(B70="CEMENT",0.0382,IF(B70="BARITE",0.0278,IF(B70="BENTONITE",0.0454,IF(B70="HEMATIT",0.0244,IF(B70="SILIS",0.0454,IF(B70="COAL",0.0925,IF(B70="GELSONITE",0.1123,IF(B70="WATER",0.1202,IF(B70="DISPERSANT",0.1014,IF(B70="FLY ASH",0.0483,IF(B70="SALT",C64)))))))))))</f>
        <v>3.8199999999999998E-2</v>
      </c>
      <c r="E70" s="356">
        <f>C70*D70</f>
        <v>3.5907999999999998</v>
      </c>
    </row>
    <row r="71" spans="1:6" x14ac:dyDescent="0.2">
      <c r="A71" s="223"/>
      <c r="B71" s="368" t="s">
        <v>402</v>
      </c>
      <c r="C71" s="369">
        <f>E49*C70/100</f>
        <v>41.36</v>
      </c>
      <c r="D71" s="369">
        <f>IF(B71="CEMENT",0.0382,IF(B71="BARITE",0.0278,IF(B71="BENTONITE",0.0454,IF(B71="HEMATIT",0.0244,IF(B71="SILIS",0.0454,IF(B71="COAL",0.0925,IF(B71="GELSONITE",0.1123,IF(B71="WATER",0.1202,IF(B71="DISPERSANT",0.1014,IF(B71="FLY ASH",0.0483,IF(B71="SALT",C65)))))))))))</f>
        <v>0.1202</v>
      </c>
      <c r="E71" s="356">
        <f>C71*D71</f>
        <v>4.9714720000000003</v>
      </c>
    </row>
    <row r="72" spans="1:6" x14ac:dyDescent="0.2">
      <c r="A72" s="223"/>
      <c r="B72" s="368" t="s">
        <v>414</v>
      </c>
      <c r="C72" s="369">
        <f>E44*C71/100</f>
        <v>15.38592</v>
      </c>
      <c r="D72" s="369">
        <f>IF(B72="CEMENT",0.0382,IF(B72="BARITE",0.0278,IF(B72="BENTONITE",0.0454,IF(B72="HEMATIT",0.0244,IF(B72="SILIS",0.0454,IF(B72="COAL",0.0925,IF(B72="GELSONITE",0.1123,IF(B72="WATER",0.1202,IF(B72="DISPERSANT",0.1014,IF(B72="FLY ASH",0.0483,IF(B72="SALT",C66)))))))))))</f>
        <v>0.3</v>
      </c>
      <c r="E72" s="356">
        <f>C72*D72</f>
        <v>4.6157760000000003</v>
      </c>
    </row>
    <row r="73" spans="1:6" x14ac:dyDescent="0.2">
      <c r="A73" s="223"/>
      <c r="B73" s="368" t="s">
        <v>403</v>
      </c>
      <c r="C73" s="369">
        <f>E42</f>
        <v>0.3</v>
      </c>
      <c r="D73" s="369">
        <f>IF(B73="CEMENT",0.0382,IF(B73="BARITE",0.0278,IF(B73="BENTONITE",0.0454,IF(B73="HEMATIT",0.0244,IF(B73="SILIS",0.0454,IF(B73="COAL",0.0925,IF(B73="GELSONITE",0.1123,IF(B73="WATER",0.1202,IF(B73="DISPERSANT",0.1014,IF(B73="FLY ASH",0.0483,IF(B73="SALT",C67)))))))))))</f>
        <v>0.1014</v>
      </c>
      <c r="E73" s="356">
        <f>C73*D73</f>
        <v>3.0419999999999999E-2</v>
      </c>
      <c r="F73" s="365" t="s">
        <v>410</v>
      </c>
    </row>
    <row r="74" spans="1:6" x14ac:dyDescent="0.2">
      <c r="A74" s="223"/>
      <c r="B74" s="368" t="s">
        <v>401</v>
      </c>
      <c r="C74" s="367">
        <f>((E43*(SUM(E56:E59)))-SUM(C56:C59))/(1-(E43*D74))</f>
        <v>74.225322029777246</v>
      </c>
      <c r="D74" s="369">
        <f>IF(B74="CEMENT",0.0382,IF(B74="BARITE",0.0278,IF(B74="BENTONITE",0.0454,IF(B74="HEMATIT",0.0244,IF(B74="SILIS",0.0454,IF(B74="COAL",0.0925,IF(B74="GELSONITE",0.1123,IF(B74="WATER",0.1202,IF(B74="DISPERSANT",0.1014,IF(B74="FLY ASH",0.0483,IF(B74="SALT",C68)))))))))))</f>
        <v>0.1123</v>
      </c>
      <c r="E74" s="356">
        <f>C74*D74</f>
        <v>8.3355036639439852</v>
      </c>
      <c r="F74" s="365">
        <f>SUM(E70:E74)/7.48</f>
        <v>2.8802101155005326</v>
      </c>
    </row>
    <row r="75" spans="1:6" x14ac:dyDescent="0.2">
      <c r="A75" s="223"/>
    </row>
    <row r="76" spans="1:6" x14ac:dyDescent="0.2">
      <c r="A76" s="223"/>
      <c r="B76" s="362" t="s">
        <v>382</v>
      </c>
      <c r="C76" s="362" t="s">
        <v>394</v>
      </c>
      <c r="D76" s="269" t="s">
        <v>404</v>
      </c>
      <c r="E76" s="269" t="s">
        <v>409</v>
      </c>
    </row>
    <row r="77" spans="1:6" x14ac:dyDescent="0.2">
      <c r="A77" s="223"/>
      <c r="B77" s="368" t="s">
        <v>400</v>
      </c>
      <c r="C77" s="355">
        <v>94</v>
      </c>
      <c r="D77" s="369">
        <f>IF(B77="CEMENT",0.0382,IF(B77="BARITE",0.0278,IF(B77="BENTONITE",0.0454,IF(B77="HEMATIT",0.0244,IF(B77="SILIS",0.0454,IF(B77="COAL",0.0925,IF(B77="GELSONITE",0.1123,IF(B77="WATER",0.1202,IF(B77="DISPERSANT",0.1014,IF(B77="FLY ASH",0.0483,IF(B77="SALT",C71)))))))))))</f>
        <v>3.8199999999999998E-2</v>
      </c>
      <c r="E77" s="356">
        <f>C77*D77</f>
        <v>3.5907999999999998</v>
      </c>
    </row>
    <row r="78" spans="1:6" x14ac:dyDescent="0.2">
      <c r="A78" s="223"/>
      <c r="B78" s="368" t="s">
        <v>402</v>
      </c>
      <c r="C78" s="369">
        <f>F49*C77/100</f>
        <v>35.72</v>
      </c>
      <c r="D78" s="369">
        <f>IF(B78="CEMENT",0.0382,IF(B78="BARITE",0.0278,IF(B78="BENTONITE",0.0454,IF(B78="HEMATIT",0.0244,IF(B78="SILIS",0.0454,IF(B78="COAL",0.0925,IF(B78="GELSONITE",0.1123,IF(B78="WATER",0.1202,IF(B78="DISPERSANT",0.1014,IF(B78="FLY ASH",0.0483,IF(B78="SALT",C72)))))))))))</f>
        <v>0.1202</v>
      </c>
      <c r="E78" s="356">
        <f>C78*D78</f>
        <v>4.2935439999999998</v>
      </c>
    </row>
    <row r="79" spans="1:6" x14ac:dyDescent="0.2">
      <c r="A79" s="223"/>
      <c r="B79" s="368" t="s">
        <v>414</v>
      </c>
      <c r="C79" s="369">
        <f>F44*C78/100</f>
        <v>0</v>
      </c>
      <c r="D79" s="369">
        <f>IF(B79="CEMENT",0.0382,IF(B79="BARITE",0.0278,IF(B79="BENTONITE",0.0454,IF(B79="HEMATIT",0.0244,IF(B79="SILIS",0.0454,IF(B79="COAL",0.0925,IF(B79="GELSONITE",0.1123,IF(B79="WATER",0.1202,IF(B79="DISPERSANT",0.1014,IF(B79="FLY ASH",0.0483,IF(B79="SALT",C73)))))))))))</f>
        <v>0.3</v>
      </c>
      <c r="E79" s="356">
        <f>C79*D79</f>
        <v>0</v>
      </c>
    </row>
    <row r="80" spans="1:6" x14ac:dyDescent="0.2">
      <c r="A80" s="223"/>
      <c r="B80" s="368" t="s">
        <v>403</v>
      </c>
      <c r="C80" s="369">
        <f>F42</f>
        <v>0.3</v>
      </c>
      <c r="D80" s="369">
        <f>IF(B80="CEMENT",0.0382,IF(B80="BARITE",0.0278,IF(B80="BENTONITE",0.0454,IF(B80="HEMATIT",0.0244,IF(B80="SILIS",0.0454,IF(B80="COAL",0.0925,IF(B80="GELSONITE",0.1123,IF(B80="WATER",0.1202,IF(B80="DISPERSANT",0.1014,IF(B80="FLY ASH",0.0483,IF(B80="SALT",C74)))))))))))</f>
        <v>0.1014</v>
      </c>
      <c r="E80" s="356">
        <f>C80*D80</f>
        <v>3.0419999999999999E-2</v>
      </c>
      <c r="F80" s="365" t="s">
        <v>410</v>
      </c>
    </row>
    <row r="81" spans="1:6" x14ac:dyDescent="0.2">
      <c r="A81" s="223"/>
      <c r="B81" s="368" t="s">
        <v>401</v>
      </c>
      <c r="C81" s="367">
        <f>((F43*(SUM(E77:E80)))-SUM(C77:C80))/(1-(F43*D81))</f>
        <v>1.4097803062865621</v>
      </c>
      <c r="D81" s="369">
        <f>IF(B81="CEMENT",0.0382,IF(B81="BARITE",0.0278,IF(B81="BENTONITE",0.0454,IF(B81="HEMATIT",0.0244,IF(B81="SILIS",0.0454,IF(B81="COAL",0.0925,IF(B81="GELSONITE",0.1123,IF(B81="WATER",0.1202,IF(B81="DISPERSANT",0.1014,IF(B81="FLY ASH",0.0483,IF(B81="SALT",C75)))))))))))</f>
        <v>0.1123</v>
      </c>
      <c r="E81" s="356">
        <f>C81*D81</f>
        <v>0.15831832839598092</v>
      </c>
      <c r="F81" s="365">
        <f>SUM(E77:E81)/7.48</f>
        <v>1.0792890813363609</v>
      </c>
    </row>
    <row r="82" spans="1:6" x14ac:dyDescent="0.2">
      <c r="A82" s="223"/>
    </row>
    <row r="83" spans="1:6" x14ac:dyDescent="0.2">
      <c r="A83" s="223"/>
      <c r="B83" s="362" t="s">
        <v>383</v>
      </c>
      <c r="C83" s="362" t="s">
        <v>394</v>
      </c>
      <c r="D83" s="269" t="s">
        <v>404</v>
      </c>
      <c r="E83" s="269" t="s">
        <v>409</v>
      </c>
    </row>
    <row r="84" spans="1:6" x14ac:dyDescent="0.2">
      <c r="A84" s="223"/>
      <c r="B84" s="368" t="s">
        <v>400</v>
      </c>
      <c r="C84" s="355">
        <v>94</v>
      </c>
      <c r="D84" s="369">
        <f>IF(B84="CEMENT",0.0382,IF(B84="BARITE",0.0278,IF(B84="BENTONITE",0.0454,IF(B84="HEMATIT",0.0244,IF(B84="SILIS",0.0454,IF(B84="COAL",0.0925,IF(B84="GELSONITE",0.1123,IF(B84="WATER",0.1202,IF(B84="DISPERSANT",0.1014,IF(B84="FLY ASH",0.0483,IF(B84="SALT",C78)))))))))))</f>
        <v>3.8199999999999998E-2</v>
      </c>
      <c r="E84" s="356">
        <f>C84*D84</f>
        <v>3.5907999999999998</v>
      </c>
    </row>
    <row r="85" spans="1:6" x14ac:dyDescent="0.2">
      <c r="A85" s="223"/>
      <c r="B85" s="368" t="s">
        <v>402</v>
      </c>
      <c r="C85" s="369">
        <f>G49*C84/100</f>
        <v>35.72</v>
      </c>
      <c r="D85" s="369">
        <f>IF(B85="CEMENT",0.0382,IF(B85="BARITE",0.0278,IF(B85="BENTONITE",0.0454,IF(B85="HEMATIT",0.0244,IF(B85="SILIS",0.0454,IF(B85="COAL",0.0925,IF(B85="GELSONITE",0.1123,IF(B85="WATER",0.1202,IF(B85="DISPERSANT",0.1014,IF(B85="FLY ASH",0.0483,IF(B85="SALT",C79)))))))))))</f>
        <v>0.1202</v>
      </c>
      <c r="E85" s="356">
        <f>C85*D85</f>
        <v>4.2935439999999998</v>
      </c>
    </row>
    <row r="86" spans="1:6" x14ac:dyDescent="0.2">
      <c r="A86" s="223"/>
      <c r="B86" s="368" t="s">
        <v>414</v>
      </c>
      <c r="C86" s="369">
        <f>G51*C85/100</f>
        <v>0</v>
      </c>
      <c r="D86" s="369">
        <f>IF(B86="CEMENT",0.0382,IF(B86="BARITE",0.0278,IF(B86="BENTONITE",0.0454,IF(B86="HEMATIT",0.0244,IF(B86="SILIS",0.0454,IF(B86="COAL",0.0925,IF(B86="GELSONITE",0.1123,IF(B86="WATER",0.1202,IF(B86="DISPERSANT",0.1014,IF(B86="FLY ASH",0.0483,IF(B86="SALT",C80)))))))))))</f>
        <v>0.3</v>
      </c>
      <c r="E86" s="356">
        <f>C86*D86</f>
        <v>0</v>
      </c>
    </row>
    <row r="87" spans="1:6" x14ac:dyDescent="0.2">
      <c r="A87" s="223"/>
      <c r="B87" s="368" t="s">
        <v>403</v>
      </c>
      <c r="C87" s="369">
        <f>G42</f>
        <v>0.3</v>
      </c>
      <c r="D87" s="369">
        <f>IF(B87="CEMENT",0.0382,IF(B87="BARITE",0.0278,IF(B87="BENTONITE",0.0454,IF(B87="HEMATIT",0.0244,IF(B87="SILIS",0.0454,IF(B87="COAL",0.0925,IF(B87="GELSONITE",0.1123,IF(B87="WATER",0.1202,IF(B87="DISPERSANT",0.1014,IF(B87="FLY ASH",0.0483,IF(B87="SALT",C81)))))))))))</f>
        <v>0.1014</v>
      </c>
      <c r="E87" s="356">
        <f>C87*D87</f>
        <v>3.0419999999999999E-2</v>
      </c>
      <c r="F87" s="365" t="s">
        <v>410</v>
      </c>
    </row>
    <row r="88" spans="1:6" x14ac:dyDescent="0.2">
      <c r="A88" s="223"/>
      <c r="B88" s="368" t="s">
        <v>398</v>
      </c>
      <c r="C88" s="367">
        <f>((G43*(SUM(E84:E87)))-SUM(C84:C87))/(1-(G43*D88))</f>
        <v>6.9138419265542028</v>
      </c>
      <c r="D88" s="369">
        <f>IF(B88="CEMENT",0.0382,IF(B88="BARITE",0.0278,IF(B88="BENTONITE",0.0454,IF(B88="HEMATIT",0.0244,IF(B88="SILIS",0.0454,IF(B88="COAL",0.0925,IF(B88="GELSONITE",0.1123,IF(B88="WATER",0.1202,IF(B88="DISPERSANT",0.1014,IF(B88="FLY ASH",0.0483,IF(B88="SALT",C82)))))))))))</f>
        <v>2.4400000000000002E-2</v>
      </c>
      <c r="E88" s="356">
        <f>C88*D88</f>
        <v>0.16869774300792256</v>
      </c>
      <c r="F88" s="365">
        <f>SUM(E84:E88)/7.48</f>
        <v>1.0806767036106846</v>
      </c>
    </row>
    <row r="89" spans="1:6" x14ac:dyDescent="0.2">
      <c r="A89" s="223"/>
    </row>
    <row r="90" spans="1:6" x14ac:dyDescent="0.2">
      <c r="A90" s="223"/>
      <c r="B90" s="363" t="s">
        <v>384</v>
      </c>
      <c r="C90" s="363" t="s">
        <v>394</v>
      </c>
      <c r="D90" s="364" t="s">
        <v>404</v>
      </c>
      <c r="E90" s="364" t="s">
        <v>409</v>
      </c>
    </row>
    <row r="91" spans="1:6" x14ac:dyDescent="0.2">
      <c r="A91" s="223"/>
      <c r="B91" s="368" t="s">
        <v>400</v>
      </c>
      <c r="C91" s="357">
        <v>94</v>
      </c>
      <c r="D91" s="369">
        <f>IF(B91="CEMENT",0.0382,IF(B91="BARITE",0.0278,IF(B91="BENTONITE",0.0454,IF(B91="HEMATIT",0.0244,IF(B91="SILIS",0.0454,IF(B91="COAL",0.0925,IF(B91="GELSONITE",0.1123,IF(B91="WATER",0.1202,IF(B91="DISPERSANT",0.1014,IF(B91="FLY ASH",0.0483,IF(B91="SALT",C85)))))))))))</f>
        <v>3.8199999999999998E-2</v>
      </c>
      <c r="E91" s="358">
        <f>C91*D91</f>
        <v>3.5907999999999998</v>
      </c>
    </row>
    <row r="92" spans="1:6" x14ac:dyDescent="0.2">
      <c r="A92" s="223"/>
      <c r="B92" s="368" t="s">
        <v>402</v>
      </c>
      <c r="C92" s="369">
        <f>H49*C91/100</f>
        <v>35.72</v>
      </c>
      <c r="D92" s="369">
        <f>IF(B92="CEMENT",0.0382,IF(B92="BARITE",0.0278,IF(B92="BENTONITE",0.0454,IF(B92="HEMATIT",0.0244,IF(B92="SILIS",0.0454,IF(B92="COAL",0.0925,IF(B92="GELSONITE",0.1123,IF(B92="WATER",0.1202,IF(B92="DISPERSANT",0.1014,IF(B92="FLY ASH",0.0483,IF(B92="SALT",C86)))))))))))</f>
        <v>0.1202</v>
      </c>
      <c r="E92" s="358">
        <f>C92*D92</f>
        <v>4.2935439999999998</v>
      </c>
    </row>
    <row r="93" spans="1:6" x14ac:dyDescent="0.2">
      <c r="A93" s="223"/>
      <c r="B93" s="368" t="s">
        <v>414</v>
      </c>
      <c r="C93" s="369">
        <f>H44*C92/100</f>
        <v>0</v>
      </c>
      <c r="D93" s="369">
        <f>IF(B93="CEMENT",0.0382,IF(B93="BARITE",0.0278,IF(B93="BENTONITE",0.0454,IF(B93="HEMATIT",0.0244,IF(B93="SILIS",0.0454,IF(B93="COAL",0.0925,IF(B93="GELSONITE",0.1123,IF(B93="WATER",0.1202,IF(B93="DISPERSANT",0.1014,IF(B93="FLY ASH",0.0483,IF(B93="SALT",C87)))))))))))</f>
        <v>0.3</v>
      </c>
      <c r="E93" s="358">
        <f>C93*D93</f>
        <v>0</v>
      </c>
    </row>
    <row r="94" spans="1:6" x14ac:dyDescent="0.2">
      <c r="A94" s="223"/>
      <c r="B94" s="368" t="s">
        <v>403</v>
      </c>
      <c r="C94" s="369">
        <f>H42</f>
        <v>0.3</v>
      </c>
      <c r="D94" s="369">
        <f>IF(B94="CEMENT",0.0382,IF(B94="BARITE",0.0278,IF(B94="BENTONITE",0.0454,IF(B94="HEMATIT",0.0244,IF(B94="SILIS",0.0454,IF(B94="COAL",0.0925,IF(B94="GELSONITE",0.1123,IF(B94="WATER",0.1202,IF(B94="DISPERSANT",0.1014,IF(B94="FLY ASH",0.0483,IF(B94="SALT",C88)))))))))))</f>
        <v>0.1014</v>
      </c>
      <c r="E94" s="358">
        <f>C94*D94</f>
        <v>3.0419999999999999E-2</v>
      </c>
      <c r="F94" s="365" t="s">
        <v>410</v>
      </c>
    </row>
    <row r="95" spans="1:6" x14ac:dyDescent="0.2">
      <c r="A95" s="223"/>
      <c r="B95" s="368" t="s">
        <v>401</v>
      </c>
      <c r="C95" s="367">
        <f>((H43*(SUM(E91:E94)))-SUM(C91:C94))/(1-(H43*D95))</f>
        <v>10.525888154985822</v>
      </c>
      <c r="D95" s="369">
        <f>IF(B95="CEMENT",0.0382,IF(B95="BARITE",0.0278,IF(B95="BENTONITE",0.0454,IF(B95="HEMATIT",0.0244,IF(B95="SILIS",0.0454,IF(B95="COAL",0.0925,IF(B95="GELSONITE",0.1123,IF(B95="WATER",0.1202,IF(B95="DISPERSANT",0.1014,IF(B95="FLY ASH",0.0483,IF(B95="SALT",C89)))))))))))</f>
        <v>0.1123</v>
      </c>
      <c r="E95" s="358">
        <f>C95*D95</f>
        <v>1.1820572398049078</v>
      </c>
      <c r="F95" s="365">
        <f>SUM(E91:E95)/7.48</f>
        <v>1.2161525721664312</v>
      </c>
    </row>
    <row r="96" spans="1:6" x14ac:dyDescent="0.2">
      <c r="A96" s="223"/>
    </row>
    <row r="97" spans="1:1" x14ac:dyDescent="0.2">
      <c r="A97" s="223"/>
    </row>
    <row r="98" spans="1:1" x14ac:dyDescent="0.2">
      <c r="A98" s="223"/>
    </row>
    <row r="99" spans="1:1" x14ac:dyDescent="0.2">
      <c r="A99" s="223"/>
    </row>
    <row r="100" spans="1:1" x14ac:dyDescent="0.2">
      <c r="A100" s="223"/>
    </row>
    <row r="101" spans="1:1" x14ac:dyDescent="0.2">
      <c r="A101" s="223"/>
    </row>
    <row r="102" spans="1:1" x14ac:dyDescent="0.2">
      <c r="A102" s="223"/>
    </row>
    <row r="103" spans="1:1" x14ac:dyDescent="0.2">
      <c r="A103" s="223"/>
    </row>
    <row r="104" spans="1:1" x14ac:dyDescent="0.2">
      <c r="A104" s="223"/>
    </row>
    <row r="105" spans="1:1" x14ac:dyDescent="0.2">
      <c r="A105" s="223"/>
    </row>
    <row r="106" spans="1:1" x14ac:dyDescent="0.2">
      <c r="A106" s="223"/>
    </row>
    <row r="107" spans="1:1" x14ac:dyDescent="0.2">
      <c r="A107" s="223"/>
    </row>
    <row r="108" spans="1:1" x14ac:dyDescent="0.2">
      <c r="A108" s="223"/>
    </row>
    <row r="109" spans="1:1" x14ac:dyDescent="0.2">
      <c r="A109" s="223"/>
    </row>
    <row r="110" spans="1:1" x14ac:dyDescent="0.2">
      <c r="A110" s="223"/>
    </row>
  </sheetData>
  <mergeCells count="19">
    <mergeCell ref="B24:C24"/>
    <mergeCell ref="B25:C25"/>
    <mergeCell ref="B26:C26"/>
    <mergeCell ref="B2:C3"/>
    <mergeCell ref="B18:C18"/>
    <mergeCell ref="B19:C19"/>
    <mergeCell ref="B20:C20"/>
    <mergeCell ref="B21:C21"/>
    <mergeCell ref="B22:C22"/>
    <mergeCell ref="B23:C23"/>
    <mergeCell ref="Q6:S6"/>
    <mergeCell ref="Q14:S14"/>
    <mergeCell ref="Q13:S13"/>
    <mergeCell ref="Q12:S12"/>
    <mergeCell ref="Q11:S11"/>
    <mergeCell ref="Q10:S10"/>
    <mergeCell ref="Q9:S9"/>
    <mergeCell ref="Q8:S8"/>
    <mergeCell ref="Q7:S7"/>
  </mergeCells>
  <dataValidations count="2">
    <dataValidation type="list" allowBlank="1" showInputMessage="1" showErrorMessage="1" sqref="B91:B95 B84:B88 B77:B81 B70:B74 B63:B67 B56:B60 C47:H47" xr:uid="{00000000-0002-0000-0800-000000000000}">
      <formula1>"CEMENT,BARITE,BENTONITE,HEMATIT,SILIS,SALT,COAL,GELSONITE,WATER,DISPERSANT,FLY ASH"</formula1>
    </dataValidation>
    <dataValidation type="list" allowBlank="1" showInputMessage="1" showErrorMessage="1" sqref="C44:E44" xr:uid="{00000000-0002-0000-0800-000001000000}">
      <formula1>"2,4,6,8,10,12,14,16,18,20,22,24,26,28,30,34,37.2"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8" baseType="variant">
      <vt:variant>
        <vt:lpstr>Worksheets</vt:lpstr>
      </vt:variant>
      <vt:variant>
        <vt:i4>6</vt:i4>
      </vt:variant>
      <vt:variant>
        <vt:lpstr>Excel 4.0 Macros</vt:lpstr>
      </vt:variant>
      <vt:variant>
        <vt:i4>1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Well Planning(SI)</vt:lpstr>
      <vt:lpstr>1.Casing design</vt:lpstr>
      <vt:lpstr>Systems Data</vt:lpstr>
      <vt:lpstr>2.Hydraulic Design</vt:lpstr>
      <vt:lpstr>3.Mud design</vt:lpstr>
      <vt:lpstr>4.Cement design</vt:lpstr>
      <vt:lpstr>Macro1</vt:lpstr>
      <vt:lpstr>Plan View</vt:lpstr>
      <vt:lpstr>Vertical Section View</vt:lpstr>
      <vt:lpstr>'1.Casing design'!Print_Area</vt:lpstr>
      <vt:lpstr>'2.Hydraulic Design'!Print_Area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Amin</dc:creator>
  <cp:lastModifiedBy>DASLAB Hareland 3</cp:lastModifiedBy>
  <cp:lastPrinted>2011-12-25T08:52:06Z</cp:lastPrinted>
  <dcterms:created xsi:type="dcterms:W3CDTF">2010-07-15T12:55:01Z</dcterms:created>
  <dcterms:modified xsi:type="dcterms:W3CDTF">2020-09-11T15:49:25Z</dcterms:modified>
</cp:coreProperties>
</file>